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612479-C582-4E92-9E2C-DA71AA6D8A88}" xr6:coauthVersionLast="47" xr6:coauthVersionMax="47" xr10:uidLastSave="{00000000-0000-0000-0000-000000000000}"/>
  <bookViews>
    <workbookView xWindow="-120" yWindow="-120" windowWidth="29040" windowHeight="15720" tabRatio="1000" firstSheet="4" activeTab="40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42" l="1"/>
  <c r="D7" i="42"/>
  <c r="D6" i="42"/>
  <c r="D5" i="42"/>
  <c r="D4" i="42"/>
  <c r="F10" i="41"/>
  <c r="F9" i="41"/>
  <c r="C13" i="41"/>
  <c r="C12" i="41"/>
  <c r="C9" i="41"/>
  <c r="D7" i="41"/>
  <c r="D6" i="41"/>
  <c r="D5" i="41"/>
  <c r="D4" i="41"/>
  <c r="E12" i="40"/>
  <c r="E11" i="40"/>
  <c r="E10" i="40"/>
  <c r="E11" i="39"/>
  <c r="E12" i="39"/>
  <c r="E10" i="39"/>
  <c r="E6" i="38"/>
  <c r="E7" i="38"/>
  <c r="E8" i="38"/>
  <c r="E5" i="38"/>
  <c r="E4" i="38"/>
  <c r="D7" i="37"/>
  <c r="D8" i="37"/>
  <c r="D9" i="37"/>
  <c r="D10" i="37"/>
  <c r="D11" i="37"/>
  <c r="D12" i="37"/>
  <c r="D5" i="37"/>
  <c r="D6" i="37"/>
  <c r="D4" i="37"/>
  <c r="C7" i="30"/>
  <c r="C8" i="30"/>
  <c r="C9" i="30"/>
  <c r="C10" i="30"/>
  <c r="C11" i="30"/>
  <c r="C12" i="30"/>
  <c r="C13" i="30"/>
  <c r="D7" i="30"/>
  <c r="D8" i="30"/>
  <c r="D9" i="30"/>
  <c r="D10" i="30"/>
  <c r="D11" i="30"/>
  <c r="D12" i="30"/>
  <c r="D13" i="30"/>
  <c r="D14" i="30"/>
  <c r="D15" i="30"/>
  <c r="D5" i="30"/>
  <c r="D5" i="36"/>
  <c r="D6" i="36"/>
  <c r="D7" i="36"/>
  <c r="D8" i="36"/>
  <c r="D9" i="36"/>
  <c r="D10" i="36"/>
  <c r="D11" i="36"/>
  <c r="D12" i="36"/>
  <c r="D5" i="35"/>
  <c r="D6" i="35"/>
  <c r="D7" i="35"/>
  <c r="D8" i="35"/>
  <c r="D9" i="35"/>
  <c r="D10" i="35"/>
  <c r="D11" i="35"/>
  <c r="D12" i="35"/>
  <c r="D4" i="35"/>
  <c r="C15" i="34"/>
  <c r="C14" i="34"/>
  <c r="G6" i="34"/>
  <c r="G7" i="34"/>
  <c r="G5" i="34"/>
  <c r="G4" i="34"/>
  <c r="F7" i="34"/>
  <c r="F6" i="34"/>
  <c r="F5" i="34"/>
  <c r="F4" i="34"/>
  <c r="C5" i="34"/>
  <c r="C6" i="34"/>
  <c r="C7" i="34"/>
  <c r="C4" i="34"/>
  <c r="F4" i="32" a="1"/>
  <c r="F4" i="32" s="1"/>
  <c r="E6" i="32"/>
  <c r="E5" i="32"/>
  <c r="E4" i="32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D6" i="30"/>
  <c r="D4" i="30"/>
  <c r="D5" i="28"/>
  <c r="D6" i="28"/>
  <c r="D7" i="28"/>
  <c r="D8" i="28"/>
  <c r="D9" i="28"/>
  <c r="D10" i="28"/>
  <c r="D11" i="28"/>
  <c r="D12" i="28"/>
  <c r="D4" i="28"/>
  <c r="E20" i="27"/>
  <c r="E21" i="27"/>
  <c r="E22" i="27"/>
  <c r="E23" i="27"/>
  <c r="E24" i="27"/>
  <c r="E25" i="27"/>
  <c r="E19" i="27"/>
  <c r="E18" i="27"/>
  <c r="D19" i="27"/>
  <c r="D20" i="27"/>
  <c r="D21" i="27"/>
  <c r="D22" i="27"/>
  <c r="D23" i="27"/>
  <c r="D24" i="27"/>
  <c r="D25" i="27"/>
  <c r="D18" i="27"/>
  <c r="D14" i="27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F4" i="27"/>
  <c r="G4" i="27" s="1"/>
  <c r="F3" i="26"/>
  <c r="C3" i="26"/>
  <c r="H19" i="25"/>
  <c r="H18" i="25"/>
  <c r="G19" i="24"/>
  <c r="G18" i="24"/>
  <c r="E5" i="23"/>
  <c r="D5" i="22"/>
  <c r="E9" i="21"/>
  <c r="E8" i="21"/>
  <c r="E7" i="21"/>
  <c r="E6" i="21"/>
  <c r="I5" i="19"/>
  <c r="I4" i="19"/>
  <c r="I3" i="19"/>
  <c r="I3" i="18"/>
  <c r="I5" i="17"/>
  <c r="I6" i="17"/>
  <c r="I4" i="17"/>
  <c r="I3" i="17"/>
  <c r="I3" i="16"/>
  <c r="E5" i="15"/>
  <c r="E4" i="15"/>
  <c r="H5" i="14"/>
  <c r="H4" i="14"/>
  <c r="G7" i="13"/>
  <c r="G5" i="13"/>
  <c r="G6" i="13"/>
  <c r="G4" i="13"/>
  <c r="G5" i="12"/>
  <c r="G4" i="12"/>
  <c r="D25" i="11"/>
  <c r="G5" i="11"/>
  <c r="G6" i="11"/>
  <c r="G7" i="11"/>
  <c r="G8" i="11"/>
  <c r="G9" i="11"/>
  <c r="G10" i="11"/>
  <c r="G11" i="11"/>
  <c r="G4" i="11"/>
  <c r="D14" i="10"/>
  <c r="F11" i="8"/>
  <c r="F5" i="8"/>
  <c r="F4" i="8"/>
  <c r="E6" i="8"/>
  <c r="F7" i="8" s="1"/>
  <c r="E7" i="8"/>
  <c r="F8" i="8" s="1"/>
  <c r="E8" i="8"/>
  <c r="F9" i="8" s="1"/>
  <c r="E9" i="8"/>
  <c r="F10" i="8" s="1"/>
  <c r="E10" i="8"/>
  <c r="E11" i="8"/>
  <c r="F12" i="8" s="1"/>
  <c r="E12" i="8"/>
  <c r="E5" i="8"/>
  <c r="F6" i="8" s="1"/>
  <c r="E4" i="8"/>
  <c r="F4" i="7"/>
  <c r="F5" i="7"/>
  <c r="F6" i="7"/>
  <c r="F7" i="7"/>
  <c r="F8" i="7"/>
  <c r="F9" i="7"/>
  <c r="F10" i="7"/>
  <c r="F11" i="7"/>
  <c r="F12" i="7"/>
  <c r="F24" i="6"/>
  <c r="D17" i="6"/>
  <c r="F5" i="6"/>
  <c r="F6" i="6"/>
  <c r="F7" i="6"/>
  <c r="F8" i="6"/>
  <c r="F9" i="6"/>
  <c r="F10" i="6"/>
  <c r="F11" i="6"/>
  <c r="F12" i="6"/>
  <c r="F13" i="6"/>
  <c r="F4" i="6"/>
  <c r="H19" i="5"/>
  <c r="H20" i="5"/>
  <c r="H21" i="5"/>
  <c r="H22" i="5"/>
  <c r="H18" i="5"/>
  <c r="H5" i="5"/>
  <c r="H6" i="5"/>
  <c r="H7" i="5"/>
  <c r="H4" i="5"/>
  <c r="J4" i="5" a="1"/>
  <c r="J4" i="5" s="1"/>
  <c r="G19" i="4"/>
  <c r="G20" i="4"/>
  <c r="G21" i="4"/>
  <c r="G22" i="4"/>
  <c r="G23" i="4"/>
  <c r="G24" i="4"/>
  <c r="G18" i="4"/>
  <c r="I19" i="4" a="1"/>
  <c r="I19" i="4" s="1"/>
  <c r="G5" i="4"/>
  <c r="G6" i="4"/>
  <c r="G7" i="4"/>
  <c r="G4" i="4"/>
  <c r="I4" i="4" a="1"/>
  <c r="I4" i="4" s="1"/>
  <c r="G5" i="3"/>
  <c r="G18" i="3"/>
  <c r="E17" i="3"/>
  <c r="E18" i="3"/>
  <c r="E19" i="3"/>
  <c r="E20" i="3"/>
  <c r="E21" i="3"/>
  <c r="E22" i="3"/>
  <c r="E23" i="3"/>
  <c r="E24" i="3"/>
  <c r="E25" i="3"/>
  <c r="E26" i="3"/>
  <c r="E16" i="3"/>
  <c r="E3" i="3"/>
  <c r="G17" i="3"/>
  <c r="H4" i="3"/>
  <c r="G5" i="1"/>
  <c r="G6" i="1"/>
  <c r="G7" i="1"/>
  <c r="G8" i="1"/>
  <c r="G9" i="1"/>
  <c r="G10" i="1"/>
  <c r="G11" i="1"/>
  <c r="G4" i="1"/>
  <c r="G12" i="1" s="1"/>
  <c r="D20" i="1"/>
  <c r="D24" i="1"/>
  <c r="D27" i="1"/>
  <c r="E4" i="3"/>
  <c r="G4" i="3"/>
  <c r="E5" i="3"/>
  <c r="E6" i="3"/>
  <c r="E7" i="3"/>
  <c r="F7" i="3"/>
  <c r="E8" i="3"/>
  <c r="E9" i="3"/>
  <c r="F9" i="3"/>
  <c r="E10" i="3"/>
  <c r="F10" i="3"/>
  <c r="E11" i="3"/>
  <c r="E12" i="3"/>
  <c r="E13" i="3"/>
  <c r="B25" i="6"/>
  <c r="E4" i="9"/>
  <c r="E5" i="9"/>
  <c r="E6" i="9"/>
  <c r="E7" i="9"/>
  <c r="E8" i="9"/>
  <c r="E9" i="9"/>
  <c r="E10" i="9"/>
  <c r="E11" i="9"/>
  <c r="E12" i="9"/>
  <c r="F4" i="10"/>
  <c r="F11" i="20"/>
  <c r="F7" i="20"/>
  <c r="F5" i="20"/>
  <c r="F6" i="20"/>
  <c r="F8" i="20"/>
  <c r="F10" i="20"/>
  <c r="F9" i="20"/>
  <c r="F4" i="20"/>
  <c r="E4" i="21"/>
  <c r="D4" i="22"/>
  <c r="E4" i="23"/>
  <c r="G4" i="24"/>
  <c r="G8" i="24"/>
  <c r="H4" i="25"/>
  <c r="F6" i="26"/>
  <c r="F7" i="26"/>
  <c r="F8" i="26"/>
  <c r="F9" i="26"/>
  <c r="F10" i="26"/>
  <c r="F11" i="26"/>
  <c r="F12" i="26"/>
  <c r="F13" i="26"/>
  <c r="F14" i="26"/>
  <c r="C4" i="30"/>
  <c r="C5" i="30"/>
  <c r="C6" i="30"/>
  <c r="D4" i="32"/>
  <c r="D5" i="32"/>
  <c r="D6" i="32"/>
  <c r="D7" i="32"/>
  <c r="D8" i="32"/>
  <c r="D9" i="32"/>
  <c r="D10" i="32"/>
  <c r="D11" i="32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7" i="9"/>
  <c r="F8" i="9"/>
  <c r="F9" i="9"/>
  <c r="F12" i="9"/>
  <c r="F11" i="9"/>
  <c r="F4" i="9"/>
  <c r="F10" i="9"/>
  <c r="F5" i="9"/>
  <c r="F6" i="9"/>
  <c r="I3" i="26" l="1"/>
  <c r="H6" i="20"/>
  <c r="F14" i="7"/>
  <c r="H9" i="20"/>
  <c r="H10" i="20"/>
  <c r="H8" i="20"/>
  <c r="H5" i="20"/>
  <c r="H7" i="20"/>
  <c r="H11" i="20"/>
  <c r="H4" i="20"/>
  <c r="G4" i="20"/>
  <c r="D12" i="32"/>
  <c r="I7" i="72"/>
  <c r="F15" i="69"/>
  <c r="G9" i="20"/>
  <c r="G11" i="20"/>
  <c r="B15" i="69"/>
  <c r="J9" i="72"/>
  <c r="H7" i="72"/>
  <c r="I9" i="72"/>
  <c r="J8" i="72"/>
  <c r="G8" i="72"/>
  <c r="G8" i="20"/>
  <c r="J7" i="72"/>
  <c r="G7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5" i="20"/>
  <c r="G9" i="72"/>
  <c r="H21" i="72"/>
  <c r="C12" i="48"/>
  <c r="I22" i="72"/>
  <c r="I20" i="72"/>
  <c r="I8" i="72"/>
  <c r="G7" i="72"/>
  <c r="D15" i="69"/>
  <c r="E13" i="48"/>
  <c r="G11" i="48"/>
  <c r="E10" i="48"/>
  <c r="G10" i="20"/>
  <c r="D11" i="48"/>
  <c r="J24" i="72"/>
  <c r="J23" i="72"/>
  <c r="D12" i="48"/>
  <c r="C10" i="48"/>
  <c r="E15" i="69"/>
  <c r="F13" i="48"/>
  <c r="B12" i="48"/>
  <c r="F10" i="48"/>
  <c r="G6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<sst xmlns="http://schemas.openxmlformats.org/spreadsheetml/2006/main" count="3995" uniqueCount="980">
  <si>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</si>
  <si>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</si>
  <si>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</si>
  <si>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</si>
  <si>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</si>
  <si>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</si>
  <si>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</si>
  <si>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</si>
  <si>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</si>
  <si>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</si>
  <si>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</si>
  <si>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</si>
  <si>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</si>
  <si>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</si>
  <si>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</si>
  <si>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</si>
  <si>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</si>
  <si>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</si>
  <si>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</si>
  <si>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</si>
  <si>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</si>
  <si>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</si>
  <si>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</si>
  <si>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</si>
  <si>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</si>
  <si>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</si>
  <si>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</si>
  <si>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</si>
  <si>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</si>
  <si>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</si>
  <si>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</si>
  <si>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</si>
  <si>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</si>
  <si>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</si>
  <si>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</si>
  <si>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</si>
  <si>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</si>
  <si>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</si>
  <si>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</si>
  <si>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</si>
  <si>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</si>
  <si>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</si>
  <si>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</si>
  <si>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</si>
  <si>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</si>
  <si>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</si>
  <si>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</si>
  <si>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</si>
  <si>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</si>
  <si>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</si>
  <si>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</si>
  <si>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</si>
  <si>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</si>
  <si>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</si>
  <si>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</si>
  <si>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</si>
  <si>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</si>
  <si>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</si>
  <si>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</si>
  <si>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</si>
  <si>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</si>
  <si>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</si>
  <si>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</si>
  <si>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</si>
  <si>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</si>
  <si>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</si>
  <si>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</si>
  <si>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</si>
  <si>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</si>
  <si>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</si>
  <si>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</si>
  <si>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</si>
  <si>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</si>
  <si>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</si>
  <si>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</si>
  <si>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</si>
  <si>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</si>
  <si>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</si>
  <si>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</si>
  <si>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</si>
  <si>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</si>
  <si>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</si>
  <si>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</si>
  <si>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</si>
  <si>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</si>
  <si>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</si>
  <si>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</si>
  <si>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</si>
  <si>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</si>
  <si>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</si>
  <si>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</si>
  <si>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</si>
  <si>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</si>
  <si>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</si>
  <si>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</si>
  <si>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</si>
  <si>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</si>
  <si>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</si>
  <si>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</si>
  <si>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</si>
  <si>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</si>
  <si>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</si>
  <si>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</si>
  <si>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</si>
  <si>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</si>
  <si>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</si>
  <si>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</si>
  <si>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</si>
  <si>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</si>
  <si>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</si>
  <si>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</si>
  <si>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</si>
  <si>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</si>
  <si>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</si>
  <si>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</si>
  <si>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</si>
  <si>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</si>
  <si>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</si>
  <si>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</si>
  <si>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</si>
  <si>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</si>
  <si>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</si>
  <si>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</si>
  <si>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</si>
  <si>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</si>
  <si>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</si>
  <si>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</si>
  <si>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</si>
  <si>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</si>
  <si>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</si>
  <si>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</si>
  <si>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</si>
  <si>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</si>
  <si>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</si>
  <si>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</si>
  <si>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</si>
  <si>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</si>
  <si>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</si>
  <si>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</si>
  <si>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</si>
  <si>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</si>
  <si>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</si>
  <si>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</si>
  <si>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</si>
  <si>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</si>
  <si>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</si>
  <si>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</si>
  <si>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</si>
  <si>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</si>
  <si>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</si>
  <si>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</si>
  <si>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</si>
  <si>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</si>
  <si>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</si>
  <si>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</si>
  <si>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</si>
  <si>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</si>
  <si>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</si>
  <si>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</si>
  <si>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</si>
  <si>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</si>
  <si>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</si>
  <si>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</si>
  <si>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</si>
  <si>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</si>
  <si>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</si>
  <si>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</si>
  <si>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</si>
  <si>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</si>
  <si>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</si>
  <si>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</si>
  <si>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</si>
  <si>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</si>
  <si>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</si>
  <si>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</si>
  <si>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</si>
  <si>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</si>
  <si>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</si>
  <si>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</si>
  <si>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</si>
  <si>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</si>
  <si>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</si>
  <si>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</si>
  <si>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</si>
  <si>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</si>
  <si>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</si>
  <si>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</si>
  <si>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</si>
  <si>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</si>
  <si>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</si>
  <si>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</si>
  <si>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</si>
  <si>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</si>
  <si>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</si>
  <si>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</si>
  <si>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</si>
  <si>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</si>
  <si>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</si>
  <si>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</si>
  <si>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</si>
  <si>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</si>
  <si>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</si>
  <si>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</si>
  <si>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</si>
  <si>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</si>
  <si>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</si>
  <si>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</si>
  <si>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</si>
  <si>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</si>
  <si>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</si>
  <si>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</si>
  <si>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</si>
  <si>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</si>
  <si>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</si>
  <si>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</si>
  <si>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</si>
  <si>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</si>
  <si>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</si>
  <si>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</si>
  <si>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</si>
  <si>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</si>
  <si>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</si>
  <si>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</si>
  <si>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</si>
  <si>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</si>
  <si>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</si>
  <si>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</si>
  <si>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</si>
  <si>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</si>
  <si>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</si>
  <si>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</si>
  <si>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</si>
  <si>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</si>
  <si>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</si>
  <si>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</si>
  <si>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</si>
  <si>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</si>
  <si>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</si>
  <si>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</si>
  <si>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</si>
  <si>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</si>
  <si>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</si>
  <si>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</si>
  <si>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</si>
  <si>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</si>
  <si>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</si>
  <si>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</si>
  <si>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</si>
  <si>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</si>
  <si>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</si>
  <si>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</si>
  <si>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</si>
  <si>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</si>
  <si>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</si>
  <si>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</si>
  <si>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</si>
  <si>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</si>
  <si>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</si>
  <si>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</si>
  <si>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</si>
  <si>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</si>
  <si>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</si>
  <si>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</si>
  <si>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</si>
  <si>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</si>
  <si>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</si>
  <si>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</si>
  <si>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</si>
  <si>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</si>
  <si>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</si>
  <si>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</si>
  <si>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</si>
  <si>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</si>
  <si>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</si>
  <si>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</si>
  <si>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</si>
  <si>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</si>
  <si>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</si>
  <si>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</si>
  <si>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</si>
  <si>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</si>
  <si>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</si>
  <si>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</si>
  <si>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</si>
  <si>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</si>
  <si>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</si>
  <si>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</si>
  <si>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</si>
  <si>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</si>
  <si>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</si>
  <si>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</si>
  <si>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</si>
  <si>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</si>
  <si>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</si>
  <si>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</si>
  <si>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</si>
  <si>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</si>
  <si>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</si>
  <si>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</si>
  <si>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</si>
  <si>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</si>
  <si>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</si>
  <si>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</si>
  <si>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</si>
  <si>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</si>
  <si>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</si>
  <si>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</si>
  <si>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Sunglasses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</si>
  <si>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</si>
  <si>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</si>
  <si>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</si>
  <si>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</si>
  <si>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</si>
  <si>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</si>
  <si>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</si>
  <si>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</si>
  <si>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</si>
  <si>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</si>
  <si>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</si>
  <si>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</si>
  <si>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</si>
  <si>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</si>
  <si>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</si>
  <si>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</si>
  <si>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</si>
  <si>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</si>
  <si>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</si>
  <si>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</si>
  <si>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</si>
  <si>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</si>
  <si>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</si>
  <si>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</si>
  <si>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</si>
  <si>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</si>
  <si>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</si>
  <si>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</si>
  <si>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</si>
  <si>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</si>
  <si>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</si>
  <si>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</si>
  <si>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</si>
  <si>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</si>
  <si>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</si>
  <si>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</si>
  <si>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</si>
  <si>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</si>
  <si>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</si>
  <si>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</si>
  <si>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</si>
  <si>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</si>
  <si>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</si>
  <si>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</si>
  <si>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</si>
  <si>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</si>
  <si>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</si>
  <si>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</si>
  <si>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</si>
  <si>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</si>
  <si>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</si>
  <si>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</si>
  <si>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</si>
  <si>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</si>
  <si>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</si>
  <si>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</si>
  <si>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</si>
  <si>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</si>
  <si>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</si>
  <si>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</si>
  <si>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</si>
  <si>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</si>
  <si>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</si>
  <si>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</si>
  <si>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</si>
  <si>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</si>
  <si>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</si>
  <si>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</si>
  <si>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</si>
  <si>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</si>
  <si>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</si>
  <si>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</si>
  <si>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</si>
  <si>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</si>
  <si>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</si>
  <si>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</si>
  <si>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</si>
  <si>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</si>
  <si>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</si>
  <si>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</si>
  <si>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</si>
  <si>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</si>
  <si>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</si>
  <si>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</si>
  <si>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</si>
  <si>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</si>
  <si>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</si>
  <si>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</si>
  <si>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</si>
  <si>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</si>
  <si>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</si>
  <si>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</si>
  <si>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</si>
  <si>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</si>
  <si>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</si>
  <si>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</si>
  <si>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</si>
  <si>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</si>
  <si>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</si>
  <si>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</si>
  <si>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</si>
  <si>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</si>
  <si>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</si>
  <si>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</si>
  <si>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</si>
  <si>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</si>
  <si>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</si>
  <si>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</si>
  <si>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</si>
  <si>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</si>
  <si>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</si>
  <si>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</si>
  <si>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</si>
  <si>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</si>
  <si>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</si>
  <si>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</si>
  <si>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</si>
  <si>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</si>
  <si>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</si>
  <si>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</si>
  <si>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</si>
  <si>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</si>
  <si>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</si>
  <si>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</si>
  <si>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</si>
  <si>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</si>
  <si>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</si>
  <si>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</si>
  <si>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</si>
  <si>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</si>
  <si>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</si>
  <si>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</si>
  <si>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</si>
  <si>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</si>
  <si>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</si>
  <si>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</si>
  <si>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</si>
  <si>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</si>
  <si>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</si>
  <si>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</si>
  <si>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</si>
  <si>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</si>
  <si>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</si>
  <si>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</si>
  <si>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</si>
  <si>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</si>
  <si>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</si>
  <si>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</si>
  <si>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</si>
  <si>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</si>
  <si>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</si>
  <si>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</si>
  <si>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</si>
  <si>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</si>
  <si>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</si>
  <si>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</si>
  <si>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</si>
  <si>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</si>
  <si>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</si>
  <si>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</si>
  <si>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</si>
  <si>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</si>
  <si>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</si>
  <si>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</si>
  <si>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</si>
  <si>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</si>
  <si>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</si>
  <si>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</si>
  <si>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</si>
  <si>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</si>
  <si>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</si>
  <si>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</si>
  <si>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</si>
  <si>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</si>
  <si>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</si>
  <si>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</si>
  <si>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</si>
  <si>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</si>
  <si>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</si>
  <si>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</si>
  <si>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</si>
  <si>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</si>
  <si>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</si>
  <si>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</si>
  <si>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</si>
  <si>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</si>
  <si>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</si>
  <si>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</si>
  <si>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</si>
  <si>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</si>
  <si>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</si>
  <si>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</si>
  <si>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</si>
  <si>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</si>
  <si>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</si>
  <si>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</si>
  <si>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</si>
  <si>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</si>
  <si>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</si>
  <si>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</si>
  <si>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</si>
  <si>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</si>
  <si>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</si>
  <si>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</si>
  <si>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</si>
  <si>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</si>
  <si>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</si>
  <si>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</si>
  <si>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</si>
  <si>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</si>
  <si>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</si>
  <si>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</si>
  <si>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</si>
  <si>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</si>
  <si>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</si>
  <si>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</si>
  <si>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</si>
  <si>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</si>
  <si>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</si>
  <si>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</si>
  <si>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</si>
  <si>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</si>
  <si>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</si>
  <si>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</si>
  <si>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</si>
  <si>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</si>
  <si>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</si>
  <si>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</si>
  <si>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</si>
  <si>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</si>
  <si>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</si>
  <si>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</si>
  <si>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</si>
  <si>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</si>
  <si>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</si>
  <si>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</si>
  <si>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</si>
  <si>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</si>
  <si>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</si>
  <si>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</si>
  <si>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</si>
  <si>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</si>
  <si>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</si>
  <si>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</si>
  <si>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</si>
  <si>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</si>
  <si>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</si>
  <si>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</si>
  <si>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</si>
  <si>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</si>
  <si>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</si>
  <si>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</si>
  <si>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</si>
  <si>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</si>
  <si>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</si>
  <si>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</si>
  <si>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</si>
  <si>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</si>
  <si>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</si>
  <si>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</si>
  <si>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</si>
  <si>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</si>
  <si>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</si>
  <si>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</si>
  <si>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</si>
  <si>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</si>
  <si>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</si>
  <si>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</si>
  <si>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</si>
  <si>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</si>
  <si>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</si>
  <si>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</si>
  <si>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</si>
  <si>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</si>
  <si>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</si>
  <si>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</si>
  <si>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</si>
  <si>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</si>
  <si>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</si>
  <si>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</si>
  <si>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</si>
  <si>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</si>
  <si>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</si>
  <si>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</si>
  <si>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</si>
  <si>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</si>
  <si>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</si>
  <si>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</si>
  <si>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</si>
  <si>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</si>
  <si>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</si>
  <si>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</si>
  <si>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</si>
  <si>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</si>
  <si>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</si>
  <si>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</si>
  <si>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</si>
  <si>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</si>
  <si>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</si>
  <si>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</si>
  <si>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</si>
  <si>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</si>
  <si>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</si>
  <si>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</si>
  <si>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</si>
  <si>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</si>
  <si>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</si>
  <si>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</si>
  <si>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</si>
  <si>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</si>
  <si>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</si>
  <si>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</si>
  <si>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</si>
  <si>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</si>
  <si>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</si>
  <si>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</si>
  <si>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</si>
  <si>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</si>
  <si>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</si>
  <si>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</si>
  <si>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</si>
  <si>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</si>
  <si>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</si>
  <si>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</si>
  <si>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</si>
  <si>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</si>
  <si>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</si>
  <si>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</si>
  <si>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</si>
  <si>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</si>
  <si>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</si>
  <si>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</si>
  <si>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</si>
  <si>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</si>
  <si>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</si>
  <si>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</si>
  <si>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</si>
  <si>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</si>
  <si>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</si>
  <si>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</si>
  <si>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</si>
  <si>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</si>
  <si>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</si>
  <si>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</si>
  <si>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</si>
  <si>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</si>
  <si>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</si>
  <si>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</si>
  <si>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</si>
  <si>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</si>
  <si>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</si>
  <si>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</si>
  <si>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</si>
  <si>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</si>
  <si>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</si>
  <si>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</si>
  <si>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</si>
  <si>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</si>
  <si>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</si>
  <si>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</si>
  <si>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</si>
  <si>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</si>
  <si>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</si>
  <si>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</si>
  <si>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</si>
  <si>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</si>
  <si>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</si>
  <si>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</si>
  <si>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</si>
  <si>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</si>
  <si>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</si>
  <si>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</si>
  <si>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</si>
  <si>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</si>
  <si>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</si>
  <si>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</si>
  <si>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</si>
  <si>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</si>
  <si>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</si>
  <si>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</si>
  <si>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</si>
  <si>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</si>
  <si>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</si>
  <si>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</si>
  <si>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</si>
  <si>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</si>
  <si>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</si>
  <si>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</si>
  <si>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</si>
  <si>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</si>
  <si>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</si>
  <si>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</si>
  <si>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</si>
  <si>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</si>
  <si>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</si>
  <si>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</si>
  <si>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</si>
  <si>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</si>
  <si>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</si>
  <si>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</si>
  <si>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</si>
  <si>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</si>
  <si>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</si>
  <si>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</si>
  <si>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</si>
  <si>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</si>
  <si>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</si>
  <si>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</si>
  <si>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</si>
  <si>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</si>
  <si>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</si>
  <si>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</si>
  <si>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</si>
  <si>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</si>
  <si>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</si>
  <si>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</si>
  <si>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</si>
  <si>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</si>
  <si>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</si>
  <si>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</si>
  <si>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</si>
  <si>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</si>
  <si>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</si>
  <si>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</si>
  <si>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</si>
  <si>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</si>
  <si>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</si>
  <si>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</si>
  <si>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</si>
  <si>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</si>
  <si>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</si>
  <si>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</si>
  <si>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</si>
  <si>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</si>
  <si>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</si>
  <si>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</si>
  <si>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</si>
  <si>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</si>
  <si>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</si>
  <si>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</si>
  <si>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</si>
  <si>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</si>
  <si>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</si>
  <si>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</si>
  <si>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</si>
  <si>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</si>
  <si>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</si>
  <si>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</si>
  <si>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</si>
  <si>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</si>
  <si>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</si>
  <si>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</si>
  <si>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</si>
  <si>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</si>
  <si>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</si>
  <si>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</si>
  <si>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</si>
  <si>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</si>
  <si>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</si>
  <si>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</si>
  <si>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</si>
  <si>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</si>
  <si>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</si>
  <si>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</si>
  <si>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</si>
  <si>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</si>
  <si>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</si>
  <si>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</si>
  <si>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</si>
  <si>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</si>
  <si>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</si>
  <si>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</si>
  <si>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</si>
  <si>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</si>
  <si>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</si>
  <si>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</si>
  <si>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</si>
  <si>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</si>
  <si>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</si>
  <si>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</si>
  <si>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</si>
  <si>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</si>
  <si>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</si>
  <si>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</si>
  <si>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</si>
  <si>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</si>
  <si>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</si>
  <si>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</si>
  <si>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</si>
  <si>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</si>
  <si>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</si>
  <si>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</si>
  <si>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</si>
  <si>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</si>
  <si>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</si>
  <si>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</si>
  <si>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</si>
  <si>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</si>
  <si>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</si>
  <si>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</si>
  <si>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</si>
  <si>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</si>
  <si>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</si>
  <si>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</si>
  <si>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</si>
  <si>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</si>
  <si>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</si>
  <si>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</si>
  <si>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</si>
  <si>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</si>
  <si>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</si>
  <si>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</si>
  <si>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</si>
  <si>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</si>
  <si>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</si>
  <si>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</si>
  <si>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</si>
  <si>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</si>
  <si>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</si>
  <si>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</si>
  <si>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</si>
  <si>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</si>
  <si>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</si>
  <si>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</si>
  <si>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</si>
  <si>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</si>
  <si>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</si>
  <si>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</si>
  <si>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</si>
  <si>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</si>
  <si>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</si>
  <si>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</si>
  <si>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</si>
  <si>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</si>
  <si>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</si>
  <si>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</si>
  <si>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</si>
  <si>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</si>
  <si>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</si>
  <si>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</si>
  <si>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</si>
  <si>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</si>
  <si>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</si>
  <si>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</si>
  <si>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</si>
  <si>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</si>
  <si>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</si>
  <si>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</si>
  <si>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</si>
  <si>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</si>
  <si>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</si>
  <si>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</si>
  <si>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</si>
  <si>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</si>
  <si>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</si>
  <si>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</si>
  <si>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</si>
  <si>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</si>
  <si>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</si>
  <si>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</si>
  <si>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</si>
  <si>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</si>
  <si>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</si>
  <si>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</si>
  <si>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</si>
  <si>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</si>
  <si>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</si>
  <si>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</si>
  <si>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</si>
  <si>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</si>
  <si>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</si>
  <si>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</si>
  <si>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</si>
  <si>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</si>
  <si>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</si>
  <si>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</si>
  <si>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</si>
  <si>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</si>
  <si>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</si>
  <si>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</si>
  <si>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</si>
  <si>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</si>
  <si>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</si>
  <si>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</si>
  <si>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</si>
  <si>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</si>
  <si>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</si>
  <si>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</si>
  <si>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</si>
  <si>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</si>
  <si>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</si>
  <si>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</si>
  <si>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</si>
  <si>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</si>
  <si>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</si>
  <si>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</si>
  <si>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</si>
  <si>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</si>
  <si>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</si>
  <si>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</si>
  <si>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</si>
  <si>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</si>
  <si>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</si>
  <si>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</si>
  <si>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</si>
  <si>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</si>
  <si>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</si>
  <si>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</si>
  <si>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</si>
  <si>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</si>
  <si>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</si>
  <si>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</si>
  <si>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</si>
  <si>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</si>
  <si>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</si>
  <si>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</si>
  <si>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</si>
  <si>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</si>
  <si>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</si>
  <si>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</si>
  <si>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</si>
  <si>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</si>
  <si>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</si>
  <si>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</si>
  <si>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</si>
  <si>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</si>
  <si>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</si>
  <si>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</si>
  <si>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</si>
  <si>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</si>
  <si>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</si>
  <si>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</si>
  <si>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</si>
  <si>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</si>
  <si>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</si>
  <si>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</si>
  <si>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</si>
  <si>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</si>
  <si>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</si>
  <si>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</si>
  <si>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</si>
  <si>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</si>
  <si>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</si>
  <si>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</si>
  <si>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</si>
  <si>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</si>
  <si>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</si>
  <si>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</si>
  <si>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</si>
  <si>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</si>
  <si>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</si>
  <si>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</si>
  <si>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</si>
  <si>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</si>
  <si>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</si>
  <si>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</si>
  <si>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</si>
  <si>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</si>
  <si>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</si>
  <si>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</si>
  <si>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</si>
  <si>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</si>
  <si>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</si>
  <si>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</si>
  <si>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</si>
  <si>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</si>
  <si>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</si>
  <si>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</si>
  <si>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</si>
  <si>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gfwsehfsdjfhdkjefi</t>
  </si>
  <si>
    <t>WalleT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</si>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</sst>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6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8"/>
      <name val="Trebuchet MS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5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0" fillId="0" borderId="13" xfId="0" applyBorder="1"/>
    <xf numFmtId="9" fontId="11" fillId="0" borderId="0" xfId="6" applyNumberFormat="1" applyFont="1"/>
    <xf numFmtId="10" fontId="11" fillId="0" borderId="2" xfId="6" applyNumberFormat="1" applyFont="1" applyBorder="1"/>
    <xf numFmtId="0" fontId="0" fillId="0" borderId="15" xfId="0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0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 (1).xlsx]Sheet23!PivotTable23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45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4" totalsRowCount="1" headerRowBorderDxfId="9" tableBorderDxfId="8" totalsRowBorderDxfId="7">
  <autoFilter ref="B3:D13" xr:uid="{0B6F1990-0E07-4640-B76C-3AD7A383AA1D}"/>
  <tableColumns count="3">
    <tableColumn id="1" xr3:uid="{00000000-0010-0000-0100-000001000000}" name="Date" dataDxfId="6" totalsRowDxfId="5"/>
    <tableColumn id="2" xr3:uid="{00000000-0010-0000-0100-000002000000}" name="Product Name" dataDxfId="4" totalsRowDxfId="3"/>
    <tableColumn id="3" xr3:uid="{00000000-0010-0000-0100-000003000000}" name="Amount" totalsRowFunction="custom" dataDxfId="2" totalsRowDxfId="1">
      <totalsRowFormula>SUM(D4:D13)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6" sqref="B6"/>
    </sheetView>
  </sheetViews>
  <sheetFormatPr defaultRowHeight="18.75" x14ac:dyDescent="0.3"/>
  <cols>
    <col min="1" max="1" width="6" style="128" customWidth="1"/>
    <col min="2" max="2" width="39.296875" style="128" bestFit="1" customWidth="1"/>
    <col min="3" max="3" width="11.19921875" style="128" bestFit="1" customWidth="1"/>
  </cols>
  <sheetData>
    <row r="1" spans="1:3" x14ac:dyDescent="0.3">
      <c r="A1" s="128" t="s">
        <v>0</v>
      </c>
      <c r="B1" s="128" t="s">
        <v>1</v>
      </c>
      <c r="C1" s="129" t="s">
        <v>2</v>
      </c>
    </row>
    <row r="2" spans="1:3" x14ac:dyDescent="0.3">
      <c r="A2" s="128">
        <v>1</v>
      </c>
      <c r="B2" s="129" t="s">
        <v>3</v>
      </c>
      <c r="C2" s="129" t="s">
        <v>4</v>
      </c>
    </row>
    <row r="3" spans="1:3" x14ac:dyDescent="0.3">
      <c r="A3" s="128">
        <v>2</v>
      </c>
      <c r="B3" s="129" t="s">
        <v>5</v>
      </c>
      <c r="C3" s="129" t="s">
        <v>6</v>
      </c>
    </row>
    <row r="4" spans="1:3" x14ac:dyDescent="0.3">
      <c r="A4" s="128">
        <v>3</v>
      </c>
      <c r="B4" s="129" t="s">
        <v>7</v>
      </c>
      <c r="C4" s="129" t="s">
        <v>8</v>
      </c>
    </row>
    <row r="5" spans="1:3" x14ac:dyDescent="0.3">
      <c r="A5" s="128">
        <v>4</v>
      </c>
      <c r="B5" s="129" t="s">
        <v>9</v>
      </c>
      <c r="C5" s="129" t="s">
        <v>10</v>
      </c>
    </row>
    <row r="6" spans="1:3" x14ac:dyDescent="0.3">
      <c r="A6" s="128">
        <v>5</v>
      </c>
      <c r="B6" s="129" t="s">
        <v>11</v>
      </c>
    </row>
    <row r="7" spans="1:3" x14ac:dyDescent="0.3">
      <c r="A7" s="128">
        <v>6</v>
      </c>
      <c r="B7" s="129" t="s">
        <v>12</v>
      </c>
    </row>
    <row r="8" spans="1:3" x14ac:dyDescent="0.3">
      <c r="A8" s="128">
        <v>7</v>
      </c>
      <c r="B8" s="129" t="s">
        <v>13</v>
      </c>
    </row>
    <row r="9" spans="1:3" x14ac:dyDescent="0.3">
      <c r="A9" s="128">
        <v>8</v>
      </c>
      <c r="B9" s="129" t="s">
        <v>14</v>
      </c>
    </row>
    <row r="10" spans="1:3" x14ac:dyDescent="0.3">
      <c r="A10" s="128">
        <v>9</v>
      </c>
      <c r="B10" s="129" t="s">
        <v>15</v>
      </c>
    </row>
    <row r="11" spans="1:3" x14ac:dyDescent="0.3">
      <c r="A11" s="128">
        <v>10</v>
      </c>
      <c r="B11" s="129" t="s">
        <v>16</v>
      </c>
    </row>
    <row r="12" spans="1:3" x14ac:dyDescent="0.3">
      <c r="A12" s="128">
        <v>11</v>
      </c>
      <c r="B12" s="129" t="s">
        <v>17</v>
      </c>
    </row>
    <row r="13" spans="1:3" x14ac:dyDescent="0.3">
      <c r="A13" s="128">
        <v>12</v>
      </c>
      <c r="B13" s="129" t="s">
        <v>18</v>
      </c>
    </row>
    <row r="14" spans="1:3" x14ac:dyDescent="0.3">
      <c r="A14" s="128">
        <v>13</v>
      </c>
      <c r="B14" s="129" t="s">
        <v>19</v>
      </c>
    </row>
    <row r="15" spans="1:3" x14ac:dyDescent="0.3">
      <c r="A15" s="128">
        <v>14</v>
      </c>
      <c r="B15" s="129" t="s">
        <v>20</v>
      </c>
    </row>
    <row r="16" spans="1:3" x14ac:dyDescent="0.3">
      <c r="A16" s="128">
        <v>15</v>
      </c>
      <c r="B16" s="129" t="s">
        <v>21</v>
      </c>
    </row>
    <row r="17" spans="1:2" x14ac:dyDescent="0.3">
      <c r="A17" s="128">
        <v>16</v>
      </c>
      <c r="B17" s="129" t="s">
        <v>22</v>
      </c>
    </row>
    <row r="18" spans="1:2" x14ac:dyDescent="0.3">
      <c r="A18" s="128">
        <v>17</v>
      </c>
      <c r="B18" s="129" t="s">
        <v>23</v>
      </c>
    </row>
    <row r="19" spans="1:2" x14ac:dyDescent="0.3">
      <c r="A19" s="128">
        <v>18</v>
      </c>
      <c r="B19" s="129" t="s">
        <v>24</v>
      </c>
    </row>
    <row r="20" spans="1:2" x14ac:dyDescent="0.3">
      <c r="A20" s="128">
        <v>19</v>
      </c>
      <c r="B20" s="129" t="s">
        <v>25</v>
      </c>
    </row>
    <row r="21" spans="1:2" x14ac:dyDescent="0.3">
      <c r="A21" s="128">
        <v>20</v>
      </c>
      <c r="B21" s="129" t="s">
        <v>26</v>
      </c>
    </row>
    <row r="22" spans="1:2" x14ac:dyDescent="0.3">
      <c r="A22" s="128">
        <v>21</v>
      </c>
      <c r="B22" s="129" t="s">
        <v>27</v>
      </c>
    </row>
    <row r="23" spans="1:2" x14ac:dyDescent="0.3">
      <c r="A23" s="128">
        <v>22</v>
      </c>
      <c r="B23" s="129" t="s">
        <v>28</v>
      </c>
    </row>
    <row r="24" spans="1:2" x14ac:dyDescent="0.3">
      <c r="A24" s="128">
        <v>23</v>
      </c>
      <c r="B24" s="129" t="s">
        <v>29</v>
      </c>
    </row>
    <row r="25" spans="1:2" x14ac:dyDescent="0.3">
      <c r="A25" s="128">
        <v>24</v>
      </c>
      <c r="B25" s="129" t="s">
        <v>30</v>
      </c>
    </row>
    <row r="26" spans="1:2" x14ac:dyDescent="0.3">
      <c r="A26" s="128">
        <v>25</v>
      </c>
      <c r="B26" s="129" t="s">
        <v>31</v>
      </c>
    </row>
    <row r="27" spans="1:2" x14ac:dyDescent="0.3">
      <c r="A27" s="128">
        <v>26</v>
      </c>
      <c r="B27" s="129" t="s">
        <v>32</v>
      </c>
    </row>
    <row r="28" spans="1:2" x14ac:dyDescent="0.3">
      <c r="A28" s="128">
        <v>27</v>
      </c>
      <c r="B28" s="129" t="s">
        <v>33</v>
      </c>
    </row>
    <row r="29" spans="1:2" x14ac:dyDescent="0.3">
      <c r="A29" s="128">
        <v>28</v>
      </c>
      <c r="B29" s="129" t="s">
        <v>34</v>
      </c>
    </row>
    <row r="30" spans="1:2" x14ac:dyDescent="0.3">
      <c r="A30" s="128">
        <v>29</v>
      </c>
      <c r="B30" s="129" t="s">
        <v>35</v>
      </c>
    </row>
    <row r="31" spans="1:2" x14ac:dyDescent="0.3">
      <c r="A31" s="128">
        <v>30</v>
      </c>
      <c r="B31" s="129" t="s">
        <v>36</v>
      </c>
    </row>
    <row r="32" spans="1:2" x14ac:dyDescent="0.3">
      <c r="A32" s="128">
        <v>31</v>
      </c>
      <c r="B32" s="129" t="s">
        <v>37</v>
      </c>
    </row>
    <row r="33" spans="1:2" x14ac:dyDescent="0.3">
      <c r="A33" s="128">
        <v>32</v>
      </c>
      <c r="B33" s="129" t="s">
        <v>38</v>
      </c>
    </row>
    <row r="34" spans="1:2" x14ac:dyDescent="0.3">
      <c r="A34" s="128">
        <v>33</v>
      </c>
      <c r="B34" s="129" t="s">
        <v>39</v>
      </c>
    </row>
    <row r="35" spans="1:2" x14ac:dyDescent="0.3">
      <c r="A35" s="128">
        <v>34</v>
      </c>
      <c r="B35" s="129" t="s">
        <v>40</v>
      </c>
    </row>
    <row r="36" spans="1:2" x14ac:dyDescent="0.3">
      <c r="A36" s="128">
        <v>35</v>
      </c>
      <c r="B36" s="129" t="s">
        <v>41</v>
      </c>
    </row>
    <row r="37" spans="1:2" x14ac:dyDescent="0.3">
      <c r="A37" s="128">
        <v>36</v>
      </c>
      <c r="B37" s="129" t="s">
        <v>42</v>
      </c>
    </row>
    <row r="38" spans="1:2" x14ac:dyDescent="0.3">
      <c r="A38" s="128">
        <v>37</v>
      </c>
      <c r="B38" s="129" t="s">
        <v>43</v>
      </c>
    </row>
    <row r="39" spans="1:2" x14ac:dyDescent="0.3">
      <c r="A39" s="128">
        <v>38</v>
      </c>
      <c r="B39" s="129" t="s">
        <v>44</v>
      </c>
    </row>
    <row r="40" spans="1:2" x14ac:dyDescent="0.3">
      <c r="A40" s="128">
        <v>39</v>
      </c>
      <c r="B40" s="129" t="s">
        <v>45</v>
      </c>
    </row>
    <row r="41" spans="1:2" x14ac:dyDescent="0.3">
      <c r="A41" s="128">
        <v>40</v>
      </c>
      <c r="B41" s="129" t="s">
        <v>46</v>
      </c>
    </row>
    <row r="42" spans="1:2" x14ac:dyDescent="0.3">
      <c r="A42" s="128">
        <v>41</v>
      </c>
      <c r="B42" s="129" t="s">
        <v>47</v>
      </c>
    </row>
    <row r="43" spans="1:2" x14ac:dyDescent="0.3">
      <c r="A43" s="128">
        <v>42</v>
      </c>
      <c r="B43" s="129" t="s">
        <v>48</v>
      </c>
    </row>
    <row r="44" spans="1:2" x14ac:dyDescent="0.3">
      <c r="A44" s="128">
        <v>43</v>
      </c>
      <c r="B44" s="129" t="s">
        <v>49</v>
      </c>
    </row>
    <row r="45" spans="1:2" x14ac:dyDescent="0.3">
      <c r="A45" s="128">
        <v>44</v>
      </c>
      <c r="B45" s="129" t="s">
        <v>50</v>
      </c>
    </row>
    <row r="46" spans="1:2" x14ac:dyDescent="0.3">
      <c r="A46" s="128">
        <v>45</v>
      </c>
      <c r="B46" s="129" t="s">
        <v>51</v>
      </c>
    </row>
    <row r="47" spans="1:2" x14ac:dyDescent="0.3">
      <c r="A47" s="128">
        <v>46</v>
      </c>
      <c r="B47" s="129" t="s">
        <v>52</v>
      </c>
    </row>
    <row r="48" spans="1:2" x14ac:dyDescent="0.3">
      <c r="A48" s="128">
        <v>47</v>
      </c>
      <c r="B48" s="129" t="s">
        <v>53</v>
      </c>
    </row>
    <row r="49" spans="1:2" x14ac:dyDescent="0.3">
      <c r="A49" s="128">
        <v>48</v>
      </c>
      <c r="B49" s="129" t="s">
        <v>54</v>
      </c>
    </row>
    <row r="50" spans="1:2" x14ac:dyDescent="0.3">
      <c r="A50" s="128">
        <v>49</v>
      </c>
      <c r="B50" s="129" t="s">
        <v>55</v>
      </c>
    </row>
    <row r="51" spans="1:2" x14ac:dyDescent="0.3">
      <c r="A51" s="128">
        <v>50</v>
      </c>
      <c r="B51" s="129" t="s">
        <v>56</v>
      </c>
    </row>
    <row r="52" spans="1:2" x14ac:dyDescent="0.3">
      <c r="A52" s="128">
        <v>51</v>
      </c>
      <c r="B52" s="129" t="s">
        <v>57</v>
      </c>
    </row>
    <row r="53" spans="1:2" x14ac:dyDescent="0.3">
      <c r="A53" s="128">
        <v>52</v>
      </c>
      <c r="B53" s="129" t="s">
        <v>58</v>
      </c>
    </row>
    <row r="54" spans="1:2" x14ac:dyDescent="0.3">
      <c r="A54" s="128">
        <v>53</v>
      </c>
      <c r="B54" s="129" t="s">
        <v>59</v>
      </c>
    </row>
    <row r="55" spans="1:2" x14ac:dyDescent="0.3">
      <c r="A55" s="128">
        <v>54</v>
      </c>
      <c r="B55" s="129" t="s">
        <v>60</v>
      </c>
    </row>
    <row r="56" spans="1:2" x14ac:dyDescent="0.3">
      <c r="A56" s="128">
        <v>55</v>
      </c>
      <c r="B56" s="129" t="s">
        <v>61</v>
      </c>
    </row>
    <row r="57" spans="1:2" x14ac:dyDescent="0.3">
      <c r="A57" s="128">
        <v>56</v>
      </c>
      <c r="B57" s="129" t="s">
        <v>62</v>
      </c>
    </row>
    <row r="58" spans="1:2" x14ac:dyDescent="0.3">
      <c r="A58" s="128">
        <v>57</v>
      </c>
      <c r="B58" s="129" t="s">
        <v>63</v>
      </c>
    </row>
    <row r="59" spans="1:2" x14ac:dyDescent="0.3">
      <c r="A59" s="128">
        <v>58</v>
      </c>
      <c r="B59" s="129" t="s">
        <v>64</v>
      </c>
    </row>
    <row r="60" spans="1:2" x14ac:dyDescent="0.3">
      <c r="A60" s="128">
        <v>59</v>
      </c>
      <c r="B60" s="129" t="s">
        <v>65</v>
      </c>
    </row>
    <row r="61" spans="1:2" x14ac:dyDescent="0.3">
      <c r="A61" s="128">
        <v>60</v>
      </c>
      <c r="B61" s="129" t="s">
        <v>66</v>
      </c>
    </row>
    <row r="62" spans="1:2" x14ac:dyDescent="0.3">
      <c r="A62" s="128">
        <v>61</v>
      </c>
      <c r="B62" s="129" t="s">
        <v>67</v>
      </c>
    </row>
    <row r="63" spans="1:2" x14ac:dyDescent="0.3">
      <c r="A63" s="128">
        <v>62</v>
      </c>
      <c r="B63" s="129" t="s">
        <v>68</v>
      </c>
    </row>
    <row r="64" spans="1:2" x14ac:dyDescent="0.3">
      <c r="A64" s="128">
        <v>63</v>
      </c>
      <c r="B64" s="129" t="s">
        <v>69</v>
      </c>
    </row>
    <row r="65" spans="1:2" x14ac:dyDescent="0.3">
      <c r="A65" s="128">
        <v>64</v>
      </c>
      <c r="B65" s="129" t="s">
        <v>70</v>
      </c>
    </row>
    <row r="66" spans="1:2" x14ac:dyDescent="0.3">
      <c r="A66" s="128">
        <v>65</v>
      </c>
      <c r="B66" s="129" t="s">
        <v>71</v>
      </c>
    </row>
    <row r="67" spans="1:2" x14ac:dyDescent="0.3">
      <c r="A67" s="128">
        <v>66</v>
      </c>
      <c r="B67" s="129" t="s">
        <v>72</v>
      </c>
    </row>
    <row r="68" spans="1:2" x14ac:dyDescent="0.3">
      <c r="A68" s="128">
        <v>67</v>
      </c>
      <c r="B68" s="129" t="s">
        <v>73</v>
      </c>
    </row>
    <row r="69" spans="1:2" x14ac:dyDescent="0.3">
      <c r="A69" s="128">
        <v>68</v>
      </c>
      <c r="B69" s="129" t="s">
        <v>74</v>
      </c>
    </row>
    <row r="70" spans="1:2" x14ac:dyDescent="0.3">
      <c r="A70" s="128">
        <v>69</v>
      </c>
      <c r="B70" s="129" t="s">
        <v>75</v>
      </c>
    </row>
    <row r="71" spans="1:2" x14ac:dyDescent="0.3">
      <c r="A71" s="128">
        <v>70</v>
      </c>
      <c r="B71" s="129" t="s">
        <v>76</v>
      </c>
    </row>
    <row r="72" spans="1:2" x14ac:dyDescent="0.3">
      <c r="A72" s="128">
        <v>71</v>
      </c>
      <c r="B72" s="129" t="s">
        <v>77</v>
      </c>
    </row>
    <row r="73" spans="1:2" x14ac:dyDescent="0.3">
      <c r="A73" s="128">
        <v>72</v>
      </c>
      <c r="B73" s="129" t="s">
        <v>78</v>
      </c>
    </row>
    <row r="74" spans="1:2" x14ac:dyDescent="0.3">
      <c r="A74" s="128">
        <v>73</v>
      </c>
      <c r="B74" s="129" t="s">
        <v>79</v>
      </c>
    </row>
    <row r="75" spans="1:2" x14ac:dyDescent="0.3">
      <c r="A75" s="128">
        <v>74</v>
      </c>
      <c r="B75" s="129" t="s">
        <v>80</v>
      </c>
    </row>
    <row r="76" spans="1:2" x14ac:dyDescent="0.3">
      <c r="A76" s="128">
        <v>75</v>
      </c>
      <c r="B76" s="129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8" activePane="bottomLeft" state="frozen"/>
      <selection pane="bottomLeft" activeCell="G7" sqref="G7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4">
        <v>1</v>
      </c>
      <c r="B1" s="1" t="s">
        <v>82</v>
      </c>
    </row>
    <row r="2" spans="1:13" x14ac:dyDescent="0.3">
      <c r="A2" s="35" t="s">
        <v>2</v>
      </c>
    </row>
    <row r="3" spans="1:13" x14ac:dyDescent="0.3">
      <c r="B3" s="38" t="s">
        <v>83</v>
      </c>
      <c r="C3" s="38" t="s">
        <v>84</v>
      </c>
      <c r="D3" s="38" t="s">
        <v>85</v>
      </c>
      <c r="E3" s="38" t="s">
        <v>86</v>
      </c>
      <c r="F3" s="38" t="s">
        <v>87</v>
      </c>
      <c r="G3" s="38" t="s">
        <v>88</v>
      </c>
      <c r="I3" s="36"/>
      <c r="J3" s="36"/>
      <c r="K3" s="36"/>
      <c r="L3" s="36"/>
      <c r="M3" s="36"/>
    </row>
    <row r="4" spans="1:13" x14ac:dyDescent="0.3">
      <c r="B4" s="37" t="s">
        <v>89</v>
      </c>
      <c r="C4" s="37" t="s">
        <v>90</v>
      </c>
      <c r="D4" s="37">
        <v>15000</v>
      </c>
      <c r="E4" s="37">
        <v>22000</v>
      </c>
      <c r="F4" s="37">
        <v>18000</v>
      </c>
      <c r="G4" s="52">
        <f>D4+E4+F4</f>
        <v>55000</v>
      </c>
    </row>
    <row r="5" spans="1:13" x14ac:dyDescent="0.3">
      <c r="B5" s="37" t="s">
        <v>91</v>
      </c>
      <c r="C5" s="37" t="s">
        <v>92</v>
      </c>
      <c r="D5" s="37">
        <v>27000</v>
      </c>
      <c r="E5" s="37">
        <v>10500</v>
      </c>
      <c r="F5" s="37">
        <v>8500</v>
      </c>
      <c r="G5" s="52">
        <f t="shared" ref="G5:G11" si="0">D5+E5+F5</f>
        <v>46000</v>
      </c>
    </row>
    <row r="6" spans="1:13" x14ac:dyDescent="0.3">
      <c r="B6" s="37" t="s">
        <v>93</v>
      </c>
      <c r="C6" s="37" t="s">
        <v>94</v>
      </c>
      <c r="D6" s="37">
        <v>9200</v>
      </c>
      <c r="E6" s="37">
        <v>8800</v>
      </c>
      <c r="F6" s="37">
        <v>32000</v>
      </c>
      <c r="G6" s="52">
        <f t="shared" si="0"/>
        <v>50000</v>
      </c>
    </row>
    <row r="7" spans="1:13" x14ac:dyDescent="0.3">
      <c r="B7" s="37" t="s">
        <v>89</v>
      </c>
      <c r="C7" s="37" t="s">
        <v>90</v>
      </c>
      <c r="D7" s="37">
        <v>33000</v>
      </c>
      <c r="E7" s="37">
        <v>29000</v>
      </c>
      <c r="F7" s="37">
        <v>21000</v>
      </c>
      <c r="G7" s="52">
        <f t="shared" si="0"/>
        <v>83000</v>
      </c>
    </row>
    <row r="8" spans="1:13" x14ac:dyDescent="0.3">
      <c r="B8" s="37" t="s">
        <v>91</v>
      </c>
      <c r="C8" s="37" t="s">
        <v>92</v>
      </c>
      <c r="D8" s="37">
        <v>17500</v>
      </c>
      <c r="E8" s="37">
        <v>14200</v>
      </c>
      <c r="F8" s="37">
        <v>11200</v>
      </c>
      <c r="G8" s="52">
        <f t="shared" si="0"/>
        <v>42900</v>
      </c>
    </row>
    <row r="9" spans="1:13" x14ac:dyDescent="0.3">
      <c r="B9" s="37" t="s">
        <v>93</v>
      </c>
      <c r="C9" s="37" t="s">
        <v>94</v>
      </c>
      <c r="D9" s="37">
        <v>18500</v>
      </c>
      <c r="E9" s="37">
        <v>19000</v>
      </c>
      <c r="F9" s="37">
        <v>24500</v>
      </c>
      <c r="G9" s="52">
        <f t="shared" si="0"/>
        <v>62000</v>
      </c>
    </row>
    <row r="10" spans="1:13" x14ac:dyDescent="0.3">
      <c r="B10" s="37" t="s">
        <v>89</v>
      </c>
      <c r="C10" s="37" t="s">
        <v>90</v>
      </c>
      <c r="D10" s="37">
        <v>11000</v>
      </c>
      <c r="E10" s="37">
        <v>17000</v>
      </c>
      <c r="F10" s="37">
        <v>14000</v>
      </c>
      <c r="G10" s="52">
        <f t="shared" si="0"/>
        <v>42000</v>
      </c>
    </row>
    <row r="11" spans="1:13" x14ac:dyDescent="0.3">
      <c r="B11" s="37" t="s">
        <v>91</v>
      </c>
      <c r="C11" s="37" t="s">
        <v>92</v>
      </c>
      <c r="D11" s="39">
        <v>8700</v>
      </c>
      <c r="E11" s="39">
        <v>9500</v>
      </c>
      <c r="F11" s="39">
        <v>7600</v>
      </c>
      <c r="G11" s="52">
        <f t="shared" si="0"/>
        <v>25800</v>
      </c>
    </row>
    <row r="12" spans="1:13" x14ac:dyDescent="0.3">
      <c r="B12" s="130" t="s">
        <v>95</v>
      </c>
      <c r="C12" s="36"/>
      <c r="D12" s="52"/>
      <c r="E12" s="52"/>
      <c r="F12" s="52"/>
      <c r="G12" s="37">
        <f>AVERAGE(G4:G11)</f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11" activePane="bottomLeft" state="frozen"/>
      <selection pane="bottomLeft" activeCell="G18" sqref="G18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4">
        <v>2</v>
      </c>
      <c r="B1" s="143" t="s">
        <v>101</v>
      </c>
      <c r="C1" s="143"/>
      <c r="D1" s="143"/>
      <c r="E1" s="143"/>
      <c r="F1" s="143"/>
      <c r="G1" s="143"/>
      <c r="H1" s="143"/>
    </row>
    <row r="2" spans="1:9" x14ac:dyDescent="0.3">
      <c r="A2" s="35" t="s">
        <v>2</v>
      </c>
    </row>
    <row r="3" spans="1:9" x14ac:dyDescent="0.3">
      <c r="B3" s="40" t="s">
        <v>83</v>
      </c>
      <c r="C3" s="40" t="s">
        <v>84</v>
      </c>
      <c r="D3" s="40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6"/>
      <c r="I3" s="36"/>
    </row>
    <row r="4" spans="1:9" x14ac:dyDescent="0.3">
      <c r="B4" s="37" t="s">
        <v>89</v>
      </c>
      <c r="C4" s="37" t="s">
        <v>90</v>
      </c>
      <c r="D4" s="37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  <c r="H4">
        <f>SUMIF(B4:B13,F4,D4:D13)</f>
        <v>44300</v>
      </c>
    </row>
    <row r="5" spans="1:9" x14ac:dyDescent="0.3">
      <c r="B5" s="37" t="s">
        <v>91</v>
      </c>
      <c r="C5" s="37" t="s">
        <v>92</v>
      </c>
      <c r="D5" s="37">
        <v>7400</v>
      </c>
      <c r="E5">
        <f t="shared" ref="E5:E13" si="0">IF(D5&gt;10000,5000,IF(D5&gt;=5000,3000,2000))</f>
        <v>3000</v>
      </c>
      <c r="F5" s="37" t="s">
        <v>91</v>
      </c>
      <c r="G5" s="4">
        <f>SUMIF(B5:B14,F5,D5:D14)</f>
        <v>22700</v>
      </c>
    </row>
    <row r="6" spans="1:9" x14ac:dyDescent="0.3">
      <c r="B6" s="37" t="s">
        <v>93</v>
      </c>
      <c r="C6" s="37" t="s">
        <v>94</v>
      </c>
      <c r="D6" s="37">
        <v>32000</v>
      </c>
      <c r="E6">
        <f t="shared" si="0"/>
        <v>5000</v>
      </c>
    </row>
    <row r="7" spans="1:9" x14ac:dyDescent="0.3">
      <c r="B7" s="37" t="s">
        <v>89</v>
      </c>
      <c r="C7" s="37" t="s">
        <v>90</v>
      </c>
      <c r="D7" s="37">
        <v>26000</v>
      </c>
      <c r="E7">
        <f t="shared" si="0"/>
        <v>5000</v>
      </c>
      <c r="F7">
        <f>SUM(D4:D13)</f>
        <v>167000</v>
      </c>
    </row>
    <row r="8" spans="1:9" x14ac:dyDescent="0.3">
      <c r="B8" s="37" t="s">
        <v>91</v>
      </c>
      <c r="C8" s="37" t="s">
        <v>92</v>
      </c>
      <c r="D8" s="37">
        <v>9200</v>
      </c>
      <c r="E8">
        <f t="shared" si="0"/>
        <v>3000</v>
      </c>
      <c r="F8" t="s">
        <v>103</v>
      </c>
    </row>
    <row r="9" spans="1:9" x14ac:dyDescent="0.3">
      <c r="B9" s="37" t="s">
        <v>93</v>
      </c>
      <c r="C9" s="37" t="s">
        <v>94</v>
      </c>
      <c r="D9" s="37">
        <v>6200</v>
      </c>
      <c r="E9">
        <f t="shared" si="0"/>
        <v>3000</v>
      </c>
      <c r="F9">
        <f>SUMIF(D4:D13,F8)</f>
        <v>35000</v>
      </c>
    </row>
    <row r="10" spans="1:9" x14ac:dyDescent="0.3">
      <c r="B10" s="37" t="s">
        <v>89</v>
      </c>
      <c r="C10" s="37" t="s">
        <v>90</v>
      </c>
      <c r="D10" s="37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7" t="s">
        <v>91</v>
      </c>
      <c r="C11" s="37" t="s">
        <v>92</v>
      </c>
      <c r="D11" s="37">
        <v>6100</v>
      </c>
      <c r="E11">
        <f t="shared" si="0"/>
        <v>3000</v>
      </c>
    </row>
    <row r="12" spans="1:9" x14ac:dyDescent="0.3">
      <c r="B12" s="37" t="s">
        <v>93</v>
      </c>
      <c r="C12" s="37" t="s">
        <v>94</v>
      </c>
      <c r="D12" s="37">
        <v>6100</v>
      </c>
      <c r="E12">
        <f t="shared" si="0"/>
        <v>3000</v>
      </c>
      <c r="F12" t="s">
        <v>104</v>
      </c>
    </row>
    <row r="13" spans="1:9" x14ac:dyDescent="0.3">
      <c r="B13" s="37" t="s">
        <v>89</v>
      </c>
      <c r="C13" s="37" t="s">
        <v>90</v>
      </c>
      <c r="D13" s="37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E16">
        <f>IF(SUM(D17:D26)&gt;10000,SUM(D17:D26),"Not enough")</f>
        <v>275500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E17">
        <f t="shared" ref="E17:E26" si="1">IF(SUM(D18:D27)&gt;10000,SUM(D18:D27),"Not enough")</f>
        <v>241500</v>
      </c>
      <c r="F17" s="4" t="s">
        <v>109</v>
      </c>
      <c r="G17" s="4">
        <f>SUMIF(B17:B26,F17,D17:D26)</f>
        <v>8700</v>
      </c>
    </row>
    <row r="18" spans="2:7" x14ac:dyDescent="0.3">
      <c r="B18" s="4" t="s">
        <v>106</v>
      </c>
      <c r="C18" s="4" t="s">
        <v>92</v>
      </c>
      <c r="D18" s="4">
        <v>5000</v>
      </c>
      <c r="E18">
        <f t="shared" si="1"/>
        <v>236500</v>
      </c>
      <c r="F18" s="4" t="s">
        <v>107</v>
      </c>
      <c r="G18" s="4">
        <f>SUMIF(B18:B27,F18,D18:D27)</f>
        <v>76000</v>
      </c>
    </row>
    <row r="19" spans="2:7" x14ac:dyDescent="0.3">
      <c r="B19" s="4" t="s">
        <v>107</v>
      </c>
      <c r="C19" s="4" t="s">
        <v>94</v>
      </c>
      <c r="D19" s="4">
        <v>76000</v>
      </c>
      <c r="E19">
        <f t="shared" si="1"/>
        <v>160500</v>
      </c>
    </row>
    <row r="20" spans="2:7" x14ac:dyDescent="0.3">
      <c r="B20" s="4" t="s">
        <v>108</v>
      </c>
      <c r="C20" s="4" t="s">
        <v>90</v>
      </c>
      <c r="D20" s="4">
        <v>45000</v>
      </c>
      <c r="E20">
        <f t="shared" si="1"/>
        <v>115500</v>
      </c>
    </row>
    <row r="21" spans="2:7" x14ac:dyDescent="0.3">
      <c r="B21" s="4" t="s">
        <v>109</v>
      </c>
      <c r="C21" s="4" t="s">
        <v>92</v>
      </c>
      <c r="D21" s="4">
        <v>8700</v>
      </c>
      <c r="E21">
        <f t="shared" si="1"/>
        <v>106800</v>
      </c>
    </row>
    <row r="22" spans="2:7" x14ac:dyDescent="0.3">
      <c r="B22" s="4" t="s">
        <v>110</v>
      </c>
      <c r="C22" s="4" t="s">
        <v>94</v>
      </c>
      <c r="D22" s="4">
        <v>5600</v>
      </c>
      <c r="E22">
        <f t="shared" si="1"/>
        <v>101200</v>
      </c>
    </row>
    <row r="23" spans="2:7" x14ac:dyDescent="0.3">
      <c r="B23" s="4" t="s">
        <v>108</v>
      </c>
      <c r="C23" s="4" t="s">
        <v>90</v>
      </c>
      <c r="D23" s="4">
        <v>45000</v>
      </c>
      <c r="E23">
        <f t="shared" si="1"/>
        <v>56200</v>
      </c>
    </row>
    <row r="24" spans="2:7" x14ac:dyDescent="0.3">
      <c r="B24" s="4" t="s">
        <v>99</v>
      </c>
      <c r="C24" s="4" t="s">
        <v>92</v>
      </c>
      <c r="D24" s="4">
        <v>5600</v>
      </c>
      <c r="E24">
        <f t="shared" si="1"/>
        <v>50600</v>
      </c>
    </row>
    <row r="25" spans="2:7" x14ac:dyDescent="0.3">
      <c r="B25" s="4" t="s">
        <v>111</v>
      </c>
      <c r="C25" s="4" t="s">
        <v>94</v>
      </c>
      <c r="D25" s="4">
        <v>5600</v>
      </c>
      <c r="E25">
        <f t="shared" si="1"/>
        <v>45000</v>
      </c>
    </row>
    <row r="26" spans="2:7" x14ac:dyDescent="0.3">
      <c r="B26" s="4" t="s">
        <v>97</v>
      </c>
      <c r="C26" s="4" t="s">
        <v>90</v>
      </c>
      <c r="D26" s="4">
        <v>45000</v>
      </c>
      <c r="E26" t="str">
        <f t="shared" si="1"/>
        <v>Not enough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4" activePane="bottomLeft" state="frozen"/>
      <selection pane="bottomLeft" activeCell="I17" sqref="I17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4">
        <v>3</v>
      </c>
      <c r="B1" s="1" t="s">
        <v>112</v>
      </c>
    </row>
    <row r="2" spans="1:11" x14ac:dyDescent="0.3">
      <c r="A2" s="35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6"/>
      <c r="K3" s="36"/>
    </row>
    <row r="4" spans="1:11" x14ac:dyDescent="0.3">
      <c r="B4" s="37" t="s">
        <v>89</v>
      </c>
      <c r="C4" s="37" t="s">
        <v>90</v>
      </c>
      <c r="D4" s="37">
        <v>19500</v>
      </c>
      <c r="F4" s="4" t="s">
        <v>89</v>
      </c>
      <c r="G4" s="4">
        <f>SUMIF(B4:B13,F4,D4:D13)</f>
        <v>102500</v>
      </c>
      <c r="I4" t="str" cm="1">
        <f t="array" ref="I4:I7">_xlfn.UNIQUE(B4:B13)</f>
        <v>Tablet</v>
      </c>
    </row>
    <row r="5" spans="1:11" x14ac:dyDescent="0.3">
      <c r="B5" s="37" t="s">
        <v>91</v>
      </c>
      <c r="C5" s="37" t="s">
        <v>92</v>
      </c>
      <c r="D5" s="37">
        <v>6400</v>
      </c>
      <c r="F5" s="4" t="s">
        <v>91</v>
      </c>
      <c r="G5" s="4">
        <f t="shared" ref="G5:G7" si="0">SUMIF(B5:B14,F5,D5:D14)</f>
        <v>20400</v>
      </c>
      <c r="I5" t="str">
        <v>Speaker</v>
      </c>
    </row>
    <row r="6" spans="1:11" x14ac:dyDescent="0.3">
      <c r="B6" s="37" t="s">
        <v>93</v>
      </c>
      <c r="C6" s="37" t="s">
        <v>94</v>
      </c>
      <c r="D6" s="37">
        <v>28500</v>
      </c>
      <c r="F6" s="4" t="s">
        <v>93</v>
      </c>
      <c r="G6" s="4">
        <f t="shared" si="0"/>
        <v>35700</v>
      </c>
      <c r="I6" t="str">
        <v>Webcam</v>
      </c>
    </row>
    <row r="7" spans="1:11" x14ac:dyDescent="0.3">
      <c r="B7" s="37" t="s">
        <v>89</v>
      </c>
      <c r="C7" s="37" t="s">
        <v>90</v>
      </c>
      <c r="D7" s="37">
        <v>31000</v>
      </c>
      <c r="F7" s="4" t="s">
        <v>113</v>
      </c>
      <c r="G7" s="4">
        <f t="shared" si="0"/>
        <v>6000</v>
      </c>
      <c r="I7" t="str">
        <v>Router</v>
      </c>
    </row>
    <row r="8" spans="1:11" x14ac:dyDescent="0.3">
      <c r="B8" s="37" t="s">
        <v>91</v>
      </c>
      <c r="C8" s="37" t="s">
        <v>92</v>
      </c>
      <c r="D8" s="37">
        <v>7900</v>
      </c>
      <c r="F8" s="4"/>
    </row>
    <row r="9" spans="1:11" x14ac:dyDescent="0.3">
      <c r="B9" s="37" t="s">
        <v>93</v>
      </c>
      <c r="C9" s="37" t="s">
        <v>94</v>
      </c>
      <c r="D9" s="37">
        <v>7200</v>
      </c>
    </row>
    <row r="10" spans="1:11" x14ac:dyDescent="0.3">
      <c r="B10" s="37" t="s">
        <v>89</v>
      </c>
      <c r="C10" s="37" t="s">
        <v>90</v>
      </c>
      <c r="D10" s="37">
        <v>27000</v>
      </c>
    </row>
    <row r="11" spans="1:11" x14ac:dyDescent="0.3">
      <c r="B11" s="37" t="s">
        <v>91</v>
      </c>
      <c r="C11" s="37" t="s">
        <v>92</v>
      </c>
      <c r="D11" s="37">
        <v>6100</v>
      </c>
    </row>
    <row r="12" spans="1:11" x14ac:dyDescent="0.3">
      <c r="B12" s="37" t="s">
        <v>113</v>
      </c>
      <c r="C12" s="37" t="s">
        <v>94</v>
      </c>
      <c r="D12" s="37">
        <v>6000</v>
      </c>
    </row>
    <row r="13" spans="1:11" x14ac:dyDescent="0.3">
      <c r="B13" s="37" t="s">
        <v>89</v>
      </c>
      <c r="C13" s="37" t="s">
        <v>90</v>
      </c>
      <c r="D13" s="37">
        <v>25000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9" x14ac:dyDescent="0.3">
      <c r="B18" s="4" t="s">
        <v>97</v>
      </c>
      <c r="C18" s="4" t="s">
        <v>90</v>
      </c>
      <c r="D18" s="4">
        <v>34000</v>
      </c>
      <c r="F18" s="4" t="s">
        <v>97</v>
      </c>
      <c r="G18" s="4">
        <f>SUMIF(B18:B27,F18,D18:D27)</f>
        <v>79000</v>
      </c>
    </row>
    <row r="19" spans="2:9" x14ac:dyDescent="0.3">
      <c r="B19" s="4" t="s">
        <v>106</v>
      </c>
      <c r="C19" s="4" t="s">
        <v>92</v>
      </c>
      <c r="D19" s="4">
        <v>5000</v>
      </c>
      <c r="F19" s="4" t="s">
        <v>106</v>
      </c>
      <c r="G19" s="4">
        <f t="shared" ref="G19:G24" si="1">SUMIF(B19:B28,F19,D19:D28)</f>
        <v>5000</v>
      </c>
      <c r="I19" t="str" cm="1">
        <f t="array" ref="I19:I25">_xlfn.UNIQUE(B18:B27)</f>
        <v>Keyboard</v>
      </c>
    </row>
    <row r="20" spans="2:9" x14ac:dyDescent="0.3">
      <c r="B20" s="4" t="s">
        <v>114</v>
      </c>
      <c r="C20" s="4" t="s">
        <v>94</v>
      </c>
      <c r="D20" s="4">
        <v>76000</v>
      </c>
      <c r="F20" s="4" t="s">
        <v>114</v>
      </c>
      <c r="G20" s="4">
        <f t="shared" si="1"/>
        <v>81600</v>
      </c>
      <c r="I20" t="str">
        <v>Usb Mouse</v>
      </c>
    </row>
    <row r="21" spans="2:9" x14ac:dyDescent="0.3">
      <c r="B21" s="4" t="s">
        <v>108</v>
      </c>
      <c r="C21" s="4" t="s">
        <v>90</v>
      </c>
      <c r="D21" s="4">
        <v>45000</v>
      </c>
      <c r="F21" s="4" t="s">
        <v>108</v>
      </c>
      <c r="G21" s="4">
        <f t="shared" si="1"/>
        <v>90000</v>
      </c>
      <c r="I21" t="str">
        <v>Monitor 14 inch</v>
      </c>
    </row>
    <row r="22" spans="2:9" x14ac:dyDescent="0.3">
      <c r="B22" s="4" t="s">
        <v>109</v>
      </c>
      <c r="C22" s="4" t="s">
        <v>92</v>
      </c>
      <c r="D22" s="4">
        <v>8700</v>
      </c>
      <c r="F22" s="4" t="s">
        <v>109</v>
      </c>
      <c r="G22" s="4">
        <f t="shared" si="1"/>
        <v>8700</v>
      </c>
      <c r="I22" t="str">
        <v>Rgb Keyboard</v>
      </c>
    </row>
    <row r="23" spans="2:9" x14ac:dyDescent="0.3">
      <c r="B23" s="4" t="s">
        <v>114</v>
      </c>
      <c r="C23" s="4" t="s">
        <v>94</v>
      </c>
      <c r="D23" s="4">
        <v>5600</v>
      </c>
      <c r="F23" s="4" t="s">
        <v>99</v>
      </c>
      <c r="G23" s="4">
        <f t="shared" si="1"/>
        <v>5600</v>
      </c>
      <c r="I23" t="str">
        <v>Wireless Mouse</v>
      </c>
    </row>
    <row r="24" spans="2:9" x14ac:dyDescent="0.3">
      <c r="B24" s="4" t="s">
        <v>108</v>
      </c>
      <c r="C24" s="4" t="s">
        <v>90</v>
      </c>
      <c r="D24" s="4">
        <v>45000</v>
      </c>
      <c r="F24" s="4" t="s">
        <v>111</v>
      </c>
      <c r="G24" s="4">
        <f t="shared" si="1"/>
        <v>5600</v>
      </c>
      <c r="I24" t="str">
        <v>Mouse</v>
      </c>
    </row>
    <row r="25" spans="2:9" x14ac:dyDescent="0.3">
      <c r="B25" s="4" t="s">
        <v>99</v>
      </c>
      <c r="C25" s="4" t="s">
        <v>92</v>
      </c>
      <c r="D25" s="4">
        <v>5600</v>
      </c>
      <c r="I25" t="str">
        <v>Monitor</v>
      </c>
    </row>
    <row r="26" spans="2:9" x14ac:dyDescent="0.3">
      <c r="B26" s="4" t="s">
        <v>111</v>
      </c>
      <c r="C26" s="4" t="s">
        <v>94</v>
      </c>
      <c r="D26" s="4">
        <v>5600</v>
      </c>
    </row>
    <row r="27" spans="2:9" x14ac:dyDescent="0.3">
      <c r="B27" s="4" t="s">
        <v>97</v>
      </c>
      <c r="C27" s="4" t="s">
        <v>90</v>
      </c>
      <c r="D27" s="4">
        <v>45000</v>
      </c>
    </row>
  </sheetData>
  <dataValidations count="2">
    <dataValidation type="list" allowBlank="1" showInputMessage="1" showErrorMessage="1" sqref="F4:F7" xr:uid="{C3263F9A-303C-4EAC-B7D4-AE305AB148C8}">
      <formula1>$I$4:$I$7</formula1>
    </dataValidation>
    <dataValidation type="list" allowBlank="1" showInputMessage="1" showErrorMessage="1" sqref="F18:F24" xr:uid="{F10884C2-B2FE-492A-94D8-3A1E05937B86}">
      <formula1>$I$19:$I$25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H24" sqref="H24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4">
        <v>4</v>
      </c>
      <c r="B1" s="1" t="s">
        <v>115</v>
      </c>
    </row>
    <row r="2" spans="1:12" x14ac:dyDescent="0.3">
      <c r="A2" s="35" t="s">
        <v>2</v>
      </c>
    </row>
    <row r="3" spans="1:12" x14ac:dyDescent="0.3">
      <c r="B3" s="40" t="s">
        <v>83</v>
      </c>
      <c r="C3" s="3" t="s">
        <v>84</v>
      </c>
      <c r="D3" s="40" t="s">
        <v>96</v>
      </c>
      <c r="F3" s="3" t="s">
        <v>83</v>
      </c>
      <c r="G3" s="3" t="s">
        <v>84</v>
      </c>
      <c r="H3" s="3" t="s">
        <v>96</v>
      </c>
      <c r="J3" s="36"/>
      <c r="K3" s="36"/>
      <c r="L3" s="36"/>
    </row>
    <row r="4" spans="1:12" x14ac:dyDescent="0.3">
      <c r="B4" s="37" t="s">
        <v>116</v>
      </c>
      <c r="C4" s="58" t="s">
        <v>90</v>
      </c>
      <c r="D4" s="37">
        <v>18500</v>
      </c>
      <c r="F4" s="37" t="s">
        <v>116</v>
      </c>
      <c r="G4" s="4" t="s">
        <v>117</v>
      </c>
      <c r="H4" s="4">
        <f>SUMIFS(D4:D13,B4:B13,F4,C4:C13,G4)</f>
        <v>52000</v>
      </c>
      <c r="J4" t="str" cm="1">
        <f t="array" ref="J4:J7">_xlfn.UNIQUE(B4:B13)</f>
        <v>Shirt</v>
      </c>
      <c r="K4" s="58" t="s">
        <v>90</v>
      </c>
    </row>
    <row r="5" spans="1:12" x14ac:dyDescent="0.3">
      <c r="B5" s="37" t="s">
        <v>118</v>
      </c>
      <c r="C5" s="58" t="s">
        <v>94</v>
      </c>
      <c r="D5" s="37">
        <v>7200</v>
      </c>
      <c r="F5" s="37" t="s">
        <v>118</v>
      </c>
      <c r="G5" s="4" t="s">
        <v>92</v>
      </c>
      <c r="H5" s="4">
        <f t="shared" ref="H5:H7" si="0">SUMIFS(D5:D14,B5:B14,F5,C5:C14,G5)</f>
        <v>8900</v>
      </c>
      <c r="J5" t="str">
        <v>Trousers</v>
      </c>
      <c r="K5" s="58" t="s">
        <v>94</v>
      </c>
    </row>
    <row r="6" spans="1:12" x14ac:dyDescent="0.3">
      <c r="B6" s="37" t="s">
        <v>119</v>
      </c>
      <c r="C6" s="58" t="s">
        <v>94</v>
      </c>
      <c r="D6" s="37">
        <v>30500</v>
      </c>
      <c r="F6" s="37" t="s">
        <v>119</v>
      </c>
      <c r="G6" s="4" t="s">
        <v>94</v>
      </c>
      <c r="H6" s="4">
        <f t="shared" si="0"/>
        <v>37300</v>
      </c>
      <c r="J6" t="str">
        <v>Blazer</v>
      </c>
      <c r="K6" s="58" t="s">
        <v>92</v>
      </c>
    </row>
    <row r="7" spans="1:12" x14ac:dyDescent="0.3">
      <c r="B7" s="37" t="s">
        <v>116</v>
      </c>
      <c r="C7" s="58" t="s">
        <v>90</v>
      </c>
      <c r="D7" s="37">
        <v>26000</v>
      </c>
      <c r="F7" s="37" t="s">
        <v>120</v>
      </c>
      <c r="G7" s="4" t="s">
        <v>90</v>
      </c>
      <c r="H7" s="4">
        <f t="shared" si="0"/>
        <v>0</v>
      </c>
      <c r="J7" t="str">
        <v>Jacket</v>
      </c>
      <c r="K7" s="58" t="s">
        <v>117</v>
      </c>
    </row>
    <row r="8" spans="1:12" x14ac:dyDescent="0.3">
      <c r="B8" s="37" t="s">
        <v>118</v>
      </c>
      <c r="C8" s="58" t="s">
        <v>92</v>
      </c>
      <c r="D8" s="37">
        <v>8900</v>
      </c>
      <c r="F8" s="37"/>
      <c r="G8" s="4"/>
    </row>
    <row r="9" spans="1:12" x14ac:dyDescent="0.3">
      <c r="B9" s="37" t="s">
        <v>119</v>
      </c>
      <c r="C9" s="58" t="s">
        <v>94</v>
      </c>
      <c r="D9" s="37">
        <v>6800</v>
      </c>
      <c r="F9" s="37"/>
      <c r="G9" s="4"/>
    </row>
    <row r="10" spans="1:12" x14ac:dyDescent="0.3">
      <c r="B10" s="37" t="s">
        <v>116</v>
      </c>
      <c r="C10" s="58" t="s">
        <v>117</v>
      </c>
      <c r="D10" s="37">
        <v>24500</v>
      </c>
      <c r="F10" s="37"/>
      <c r="G10" s="4"/>
    </row>
    <row r="11" spans="1:12" x14ac:dyDescent="0.3">
      <c r="B11" s="37" t="s">
        <v>118</v>
      </c>
      <c r="C11" s="58" t="s">
        <v>94</v>
      </c>
      <c r="D11" s="37">
        <v>6400</v>
      </c>
    </row>
    <row r="12" spans="1:12" x14ac:dyDescent="0.3">
      <c r="B12" s="37" t="s">
        <v>120</v>
      </c>
      <c r="C12" s="58" t="s">
        <v>94</v>
      </c>
      <c r="D12" s="37">
        <v>6000</v>
      </c>
    </row>
    <row r="13" spans="1:12" x14ac:dyDescent="0.3">
      <c r="B13" s="37" t="s">
        <v>116</v>
      </c>
      <c r="C13" s="58" t="s">
        <v>117</v>
      </c>
      <c r="D13" s="37">
        <v>27500</v>
      </c>
    </row>
    <row r="17" spans="2:12" x14ac:dyDescent="0.3">
      <c r="B17" s="38" t="s">
        <v>83</v>
      </c>
      <c r="C17" s="38" t="s">
        <v>84</v>
      </c>
      <c r="D17" s="38" t="s">
        <v>96</v>
      </c>
      <c r="F17" s="40" t="s">
        <v>83</v>
      </c>
      <c r="G17" s="3" t="s">
        <v>84</v>
      </c>
      <c r="H17" s="3" t="s">
        <v>96</v>
      </c>
      <c r="J17" s="36"/>
      <c r="K17" s="36"/>
      <c r="L17" s="36"/>
    </row>
    <row r="18" spans="2:12" x14ac:dyDescent="0.3">
      <c r="B18" s="37" t="s">
        <v>121</v>
      </c>
      <c r="C18" s="37" t="s">
        <v>90</v>
      </c>
      <c r="D18" s="37">
        <v>21000</v>
      </c>
      <c r="F18" s="37" t="s">
        <v>121</v>
      </c>
      <c r="G18" s="41" t="s">
        <v>90</v>
      </c>
      <c r="H18" s="4">
        <f>SUMIFS(D18:D27,B18:B27,F18,C18:C27,G18)</f>
        <v>103000</v>
      </c>
      <c r="J18" s="37" t="s">
        <v>121</v>
      </c>
      <c r="L18" s="37" t="s">
        <v>90</v>
      </c>
    </row>
    <row r="19" spans="2:12" x14ac:dyDescent="0.3">
      <c r="B19" s="37" t="s">
        <v>123</v>
      </c>
      <c r="C19" s="37" t="s">
        <v>92</v>
      </c>
      <c r="D19" s="37">
        <v>6200</v>
      </c>
      <c r="F19" s="37" t="s">
        <v>123</v>
      </c>
      <c r="G19" s="41" t="s">
        <v>92</v>
      </c>
      <c r="H19" s="4">
        <f t="shared" ref="H19:H22" si="1">SUMIFS(D19:D28,B19:B28,F19,C19:C28,G19)</f>
        <v>6200</v>
      </c>
      <c r="J19" s="37" t="s">
        <v>123</v>
      </c>
      <c r="L19" s="37" t="s">
        <v>92</v>
      </c>
    </row>
    <row r="20" spans="2:12" x14ac:dyDescent="0.3">
      <c r="B20" s="37" t="s">
        <v>124</v>
      </c>
      <c r="C20" s="37" t="s">
        <v>94</v>
      </c>
      <c r="D20" s="37">
        <v>31500</v>
      </c>
      <c r="F20" s="37" t="s">
        <v>124</v>
      </c>
      <c r="G20" s="41" t="s">
        <v>94</v>
      </c>
      <c r="H20" s="4">
        <f t="shared" si="1"/>
        <v>38700</v>
      </c>
      <c r="J20" s="37" t="s">
        <v>124</v>
      </c>
      <c r="L20" s="37" t="s">
        <v>94</v>
      </c>
    </row>
    <row r="21" spans="2:12" x14ac:dyDescent="0.3">
      <c r="B21" s="37" t="s">
        <v>121</v>
      </c>
      <c r="C21" s="37" t="s">
        <v>90</v>
      </c>
      <c r="D21" s="37">
        <v>29000</v>
      </c>
      <c r="F21" s="37" t="s">
        <v>122</v>
      </c>
      <c r="G21" s="41" t="s">
        <v>92</v>
      </c>
      <c r="H21" s="4">
        <f t="shared" si="1"/>
        <v>16200</v>
      </c>
      <c r="J21" s="37" t="s">
        <v>122</v>
      </c>
    </row>
    <row r="22" spans="2:12" x14ac:dyDescent="0.3">
      <c r="B22" s="37" t="s">
        <v>122</v>
      </c>
      <c r="C22" s="37" t="s">
        <v>92</v>
      </c>
      <c r="D22" s="37">
        <v>9400</v>
      </c>
      <c r="F22" s="37" t="s">
        <v>125</v>
      </c>
      <c r="G22" s="41" t="s">
        <v>94</v>
      </c>
      <c r="H22" s="4">
        <f t="shared" si="1"/>
        <v>6100</v>
      </c>
      <c r="J22" s="37" t="s">
        <v>125</v>
      </c>
    </row>
    <row r="23" spans="2:12" x14ac:dyDescent="0.3">
      <c r="B23" s="37" t="s">
        <v>124</v>
      </c>
      <c r="C23" s="37" t="s">
        <v>94</v>
      </c>
      <c r="D23" s="37">
        <v>7200</v>
      </c>
    </row>
    <row r="24" spans="2:12" x14ac:dyDescent="0.3">
      <c r="B24" s="37" t="s">
        <v>121</v>
      </c>
      <c r="C24" s="37" t="s">
        <v>90</v>
      </c>
      <c r="D24" s="37">
        <v>27500</v>
      </c>
    </row>
    <row r="25" spans="2:12" x14ac:dyDescent="0.3">
      <c r="B25" s="37" t="s">
        <v>122</v>
      </c>
      <c r="C25" s="37" t="s">
        <v>92</v>
      </c>
      <c r="D25" s="37">
        <v>6800</v>
      </c>
    </row>
    <row r="26" spans="2:12" x14ac:dyDescent="0.3">
      <c r="B26" s="37" t="s">
        <v>125</v>
      </c>
      <c r="C26" s="37" t="s">
        <v>94</v>
      </c>
      <c r="D26" s="37">
        <v>6100</v>
      </c>
    </row>
    <row r="27" spans="2:12" x14ac:dyDescent="0.3">
      <c r="B27" s="37" t="s">
        <v>121</v>
      </c>
      <c r="C27" s="37" t="s">
        <v>90</v>
      </c>
      <c r="D27" s="37">
        <v>25500</v>
      </c>
    </row>
  </sheetData>
  <phoneticPr fontId="25" type="noConversion"/>
  <dataValidations count="4">
    <dataValidation type="list" allowBlank="1" showInputMessage="1" showErrorMessage="1" sqref="F4:F10" xr:uid="{4059F75E-D762-4D59-8615-F6551BC4C16B}">
      <formula1>$J$4:$J$8</formula1>
    </dataValidation>
    <dataValidation type="list" allowBlank="1" showInputMessage="1" showErrorMessage="1" sqref="G4:G10" xr:uid="{86F81103-705E-4EE7-8B61-1B91B453ECC3}">
      <formula1>$K$4:$K$7</formula1>
    </dataValidation>
    <dataValidation type="list" allowBlank="1" showInputMessage="1" showErrorMessage="1" sqref="F18:F22" xr:uid="{0486BD5A-00D8-4706-8059-D0442786D154}">
      <formula1>$J$18:$J$22</formula1>
    </dataValidation>
    <dataValidation type="list" allowBlank="1" showInputMessage="1" showErrorMessage="1" sqref="G18:G22" xr:uid="{6F9521B7-FA75-4A2C-AE4C-2C5E44580D32}">
      <formula1>$L$18:$L$20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F24" sqref="F24"/>
    </sheetView>
  </sheetViews>
  <sheetFormatPr defaultRowHeight="18.75" x14ac:dyDescent="0.3"/>
  <cols>
    <col min="2" max="2" width="14" customWidth="1"/>
    <col min="4" max="5" width="9.5" customWidth="1"/>
    <col min="6" max="6" width="11.8984375" bestFit="1" customWidth="1"/>
  </cols>
  <sheetData>
    <row r="1" spans="1:11" s="2" customFormat="1" ht="32.65" customHeight="1" thickBot="1" x14ac:dyDescent="0.35">
      <c r="A1" s="34">
        <v>5</v>
      </c>
      <c r="B1" s="1" t="s">
        <v>126</v>
      </c>
    </row>
    <row r="2" spans="1:11" x14ac:dyDescent="0.3">
      <c r="A2" s="35" t="s">
        <v>2</v>
      </c>
    </row>
    <row r="3" spans="1:11" x14ac:dyDescent="0.3">
      <c r="B3" s="40" t="s">
        <v>83</v>
      </c>
      <c r="C3" s="40" t="s">
        <v>84</v>
      </c>
      <c r="D3" s="40" t="s">
        <v>127</v>
      </c>
      <c r="E3" s="3" t="s">
        <v>128</v>
      </c>
      <c r="F3" s="3" t="s">
        <v>96</v>
      </c>
      <c r="H3" s="36"/>
      <c r="I3" s="36"/>
      <c r="J3" s="36"/>
      <c r="K3" s="36"/>
    </row>
    <row r="4" spans="1:11" x14ac:dyDescent="0.3">
      <c r="B4" s="37" t="s">
        <v>129</v>
      </c>
      <c r="C4" s="59" t="s">
        <v>90</v>
      </c>
      <c r="D4" s="37">
        <v>15</v>
      </c>
      <c r="E4" s="43">
        <v>450</v>
      </c>
      <c r="F4" s="9">
        <f>PRODUCT(D4:E4)</f>
        <v>6750</v>
      </c>
    </row>
    <row r="5" spans="1:11" x14ac:dyDescent="0.3">
      <c r="B5" s="37" t="s">
        <v>130</v>
      </c>
      <c r="C5" s="59" t="s">
        <v>94</v>
      </c>
      <c r="D5" s="37">
        <v>35</v>
      </c>
      <c r="E5" s="43">
        <v>249</v>
      </c>
      <c r="F5" s="9">
        <f t="shared" ref="F5:F13" si="0">PRODUCT(D5:E5)</f>
        <v>8715</v>
      </c>
    </row>
    <row r="6" spans="1:11" x14ac:dyDescent="0.3">
      <c r="B6" s="37" t="s">
        <v>131</v>
      </c>
      <c r="C6" s="59" t="s">
        <v>94</v>
      </c>
      <c r="D6" s="37">
        <v>45</v>
      </c>
      <c r="E6" s="43">
        <v>4400</v>
      </c>
      <c r="F6" s="9">
        <f t="shared" si="0"/>
        <v>198000</v>
      </c>
    </row>
    <row r="7" spans="1:11" x14ac:dyDescent="0.3">
      <c r="B7" s="37" t="s">
        <v>129</v>
      </c>
      <c r="C7" s="59" t="s">
        <v>90</v>
      </c>
      <c r="D7" s="37">
        <v>250</v>
      </c>
      <c r="E7" s="43">
        <v>700</v>
      </c>
      <c r="F7" s="9">
        <f t="shared" si="0"/>
        <v>175000</v>
      </c>
    </row>
    <row r="8" spans="1:11" x14ac:dyDescent="0.3">
      <c r="B8" s="37" t="s">
        <v>130</v>
      </c>
      <c r="C8" s="59" t="s">
        <v>92</v>
      </c>
      <c r="D8" s="37">
        <v>8</v>
      </c>
      <c r="E8" s="43">
        <v>260</v>
      </c>
      <c r="F8" s="9">
        <f t="shared" si="0"/>
        <v>2080</v>
      </c>
    </row>
    <row r="9" spans="1:11" x14ac:dyDescent="0.3">
      <c r="B9" s="37" t="s">
        <v>131</v>
      </c>
      <c r="C9" s="59" t="s">
        <v>94</v>
      </c>
      <c r="D9" s="37">
        <v>38</v>
      </c>
      <c r="E9" s="43">
        <v>5450</v>
      </c>
      <c r="F9" s="9">
        <f t="shared" si="0"/>
        <v>207100</v>
      </c>
    </row>
    <row r="10" spans="1:11" x14ac:dyDescent="0.3">
      <c r="B10" s="37" t="s">
        <v>129</v>
      </c>
      <c r="C10" s="59" t="s">
        <v>117</v>
      </c>
      <c r="D10" s="37">
        <v>90</v>
      </c>
      <c r="E10" s="43">
        <v>5600</v>
      </c>
      <c r="F10" s="9">
        <f t="shared" si="0"/>
        <v>504000</v>
      </c>
    </row>
    <row r="11" spans="1:11" x14ac:dyDescent="0.3">
      <c r="B11" s="37" t="s">
        <v>130</v>
      </c>
      <c r="C11" s="59" t="s">
        <v>94</v>
      </c>
      <c r="D11" s="37">
        <v>60</v>
      </c>
      <c r="E11" s="43">
        <v>205</v>
      </c>
      <c r="F11" s="9">
        <f t="shared" si="0"/>
        <v>12300</v>
      </c>
    </row>
    <row r="12" spans="1:11" x14ac:dyDescent="0.3">
      <c r="B12" s="37" t="s">
        <v>132</v>
      </c>
      <c r="C12" s="59" t="s">
        <v>94</v>
      </c>
      <c r="D12" s="37">
        <v>12</v>
      </c>
      <c r="E12" s="43">
        <v>3900</v>
      </c>
      <c r="F12" s="9">
        <f t="shared" si="0"/>
        <v>46800</v>
      </c>
    </row>
    <row r="13" spans="1:11" x14ac:dyDescent="0.3">
      <c r="B13" s="37" t="s">
        <v>129</v>
      </c>
      <c r="C13" s="59" t="s">
        <v>117</v>
      </c>
      <c r="D13" s="37">
        <v>10</v>
      </c>
      <c r="E13" s="43">
        <v>280</v>
      </c>
      <c r="F13" s="9">
        <f t="shared" si="0"/>
        <v>2800</v>
      </c>
    </row>
    <row r="16" spans="1:11" x14ac:dyDescent="0.3">
      <c r="B16" s="10" t="s">
        <v>133</v>
      </c>
    </row>
    <row r="17" spans="2:6" x14ac:dyDescent="0.3">
      <c r="B17">
        <v>2</v>
      </c>
      <c r="D17">
        <f>PRODUCT(B17:B24)</f>
        <v>196000</v>
      </c>
      <c r="F17">
        <v>54</v>
      </c>
    </row>
    <row r="18" spans="2:6" x14ac:dyDescent="0.3">
      <c r="B18">
        <v>4</v>
      </c>
      <c r="F18">
        <v>4</v>
      </c>
    </row>
    <row r="19" spans="2:6" x14ac:dyDescent="0.3">
      <c r="B19">
        <v>5</v>
      </c>
      <c r="F19">
        <v>56</v>
      </c>
    </row>
    <row r="20" spans="2:6" x14ac:dyDescent="0.3">
      <c r="B20">
        <v>7</v>
      </c>
      <c r="F20">
        <v>8</v>
      </c>
    </row>
    <row r="21" spans="2:6" x14ac:dyDescent="0.3">
      <c r="B21">
        <v>5</v>
      </c>
      <c r="F21">
        <v>96</v>
      </c>
    </row>
    <row r="22" spans="2:6" x14ac:dyDescent="0.3">
      <c r="B22">
        <v>4</v>
      </c>
      <c r="F22">
        <v>78</v>
      </c>
    </row>
    <row r="23" spans="2:6" x14ac:dyDescent="0.3">
      <c r="B23">
        <v>5</v>
      </c>
      <c r="F23">
        <v>36</v>
      </c>
    </row>
    <row r="24" spans="2:6" x14ac:dyDescent="0.3">
      <c r="B24">
        <v>7</v>
      </c>
      <c r="F24">
        <f>PRODUCT(F17:F23)</f>
        <v>26085556224</v>
      </c>
    </row>
    <row r="25" spans="2:6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H14" sqref="H14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4">
        <v>6</v>
      </c>
      <c r="B1" s="1" t="s">
        <v>134</v>
      </c>
    </row>
    <row r="2" spans="1:11" x14ac:dyDescent="0.3">
      <c r="A2" s="35" t="s">
        <v>2</v>
      </c>
    </row>
    <row r="3" spans="1:11" x14ac:dyDescent="0.3">
      <c r="B3" s="40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6"/>
      <c r="I3" s="36"/>
      <c r="J3" s="36"/>
      <c r="K3" s="36"/>
    </row>
    <row r="4" spans="1:11" x14ac:dyDescent="0.3">
      <c r="B4" s="37" t="s">
        <v>135</v>
      </c>
      <c r="C4" s="59" t="s">
        <v>90</v>
      </c>
      <c r="D4" s="37">
        <v>12</v>
      </c>
      <c r="E4" s="44">
        <v>300</v>
      </c>
      <c r="F4" s="44">
        <f>D4*E4</f>
        <v>3600</v>
      </c>
    </row>
    <row r="5" spans="1:11" x14ac:dyDescent="0.3">
      <c r="B5" s="37" t="s">
        <v>136</v>
      </c>
      <c r="C5" s="59" t="s">
        <v>94</v>
      </c>
      <c r="D5" s="37">
        <v>30</v>
      </c>
      <c r="E5" s="44">
        <v>249</v>
      </c>
      <c r="F5" s="44">
        <f t="shared" ref="F5:F12" si="0">D5*E5</f>
        <v>7470</v>
      </c>
    </row>
    <row r="6" spans="1:11" x14ac:dyDescent="0.3">
      <c r="B6" s="37" t="s">
        <v>137</v>
      </c>
      <c r="C6" s="59" t="s">
        <v>94</v>
      </c>
      <c r="D6" s="37">
        <v>450</v>
      </c>
      <c r="E6" s="44">
        <v>4400</v>
      </c>
      <c r="F6" s="44">
        <f t="shared" si="0"/>
        <v>1980000</v>
      </c>
    </row>
    <row r="7" spans="1:11" x14ac:dyDescent="0.3">
      <c r="B7" s="37" t="s">
        <v>135</v>
      </c>
      <c r="C7" s="59" t="s">
        <v>90</v>
      </c>
      <c r="D7" s="37">
        <v>18</v>
      </c>
      <c r="E7" s="44">
        <v>300</v>
      </c>
      <c r="F7" s="44">
        <f t="shared" si="0"/>
        <v>5400</v>
      </c>
    </row>
    <row r="8" spans="1:11" x14ac:dyDescent="0.3">
      <c r="B8" s="37" t="s">
        <v>136</v>
      </c>
      <c r="C8" s="59" t="s">
        <v>92</v>
      </c>
      <c r="D8" s="37">
        <v>6</v>
      </c>
      <c r="E8" s="44">
        <v>260</v>
      </c>
      <c r="F8" s="44">
        <f t="shared" si="0"/>
        <v>1560</v>
      </c>
    </row>
    <row r="9" spans="1:11" x14ac:dyDescent="0.3">
      <c r="B9" s="37" t="s">
        <v>137</v>
      </c>
      <c r="C9" s="59" t="s">
        <v>94</v>
      </c>
      <c r="D9" s="37">
        <v>42</v>
      </c>
      <c r="E9" s="44">
        <v>5400</v>
      </c>
      <c r="F9" s="44">
        <f t="shared" si="0"/>
        <v>226800</v>
      </c>
    </row>
    <row r="10" spans="1:11" x14ac:dyDescent="0.3">
      <c r="B10" s="37" t="s">
        <v>135</v>
      </c>
      <c r="C10" s="59" t="s">
        <v>117</v>
      </c>
      <c r="D10" s="37">
        <v>95</v>
      </c>
      <c r="E10" s="44">
        <v>5600</v>
      </c>
      <c r="F10" s="44">
        <f t="shared" si="0"/>
        <v>532000</v>
      </c>
    </row>
    <row r="11" spans="1:11" x14ac:dyDescent="0.3">
      <c r="B11" s="37" t="s">
        <v>136</v>
      </c>
      <c r="C11" s="59" t="s">
        <v>94</v>
      </c>
      <c r="D11" s="37">
        <v>55</v>
      </c>
      <c r="E11" s="44">
        <v>200</v>
      </c>
      <c r="F11" s="44">
        <f t="shared" si="0"/>
        <v>11000</v>
      </c>
    </row>
    <row r="12" spans="1:11" x14ac:dyDescent="0.3">
      <c r="B12" s="37" t="s">
        <v>138</v>
      </c>
      <c r="C12" s="59" t="s">
        <v>94</v>
      </c>
      <c r="D12" s="37">
        <v>15</v>
      </c>
      <c r="E12" s="44">
        <v>3700</v>
      </c>
      <c r="F12" s="44">
        <f t="shared" si="0"/>
        <v>55500</v>
      </c>
    </row>
    <row r="14" spans="1:11" x14ac:dyDescent="0.3">
      <c r="D14" s="144" t="s">
        <v>139</v>
      </c>
      <c r="E14" s="145"/>
      <c r="F14" s="9">
        <f>SUMPRODUCT(F4:F12)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6" sqref="F6:F12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4">
        <v>7</v>
      </c>
      <c r="B1" s="136" t="s">
        <v>140</v>
      </c>
    </row>
    <row r="2" spans="1:8" x14ac:dyDescent="0.3">
      <c r="A2" s="35" t="s">
        <v>2</v>
      </c>
    </row>
    <row r="3" spans="1:8" x14ac:dyDescent="0.3">
      <c r="B3" s="46" t="s">
        <v>141</v>
      </c>
      <c r="C3" s="40" t="s">
        <v>83</v>
      </c>
      <c r="D3" s="40" t="s">
        <v>96</v>
      </c>
      <c r="E3" s="40" t="s">
        <v>13</v>
      </c>
      <c r="G3" s="36"/>
      <c r="H3" s="36"/>
    </row>
    <row r="4" spans="1:8" x14ac:dyDescent="0.3">
      <c r="B4" s="60">
        <v>45292</v>
      </c>
      <c r="C4" s="37" t="s">
        <v>142</v>
      </c>
      <c r="D4" s="59">
        <v>180</v>
      </c>
      <c r="E4" s="45">
        <f>SUM($D$4:D4)</f>
        <v>180</v>
      </c>
      <c r="F4">
        <f>D4</f>
        <v>180</v>
      </c>
    </row>
    <row r="5" spans="1:8" x14ac:dyDescent="0.3">
      <c r="B5" s="60">
        <v>45293</v>
      </c>
      <c r="C5" s="37" t="s">
        <v>135</v>
      </c>
      <c r="D5" s="59">
        <v>220</v>
      </c>
      <c r="E5" s="37">
        <f>SUM($D$4:D5)</f>
        <v>400</v>
      </c>
      <c r="F5">
        <f>E4+D5</f>
        <v>400</v>
      </c>
    </row>
    <row r="6" spans="1:8" x14ac:dyDescent="0.3">
      <c r="B6" s="60">
        <v>45294</v>
      </c>
      <c r="C6" s="37" t="s">
        <v>137</v>
      </c>
      <c r="D6" s="59">
        <v>170</v>
      </c>
      <c r="E6" s="37">
        <f>SUM($D$4:D6)</f>
        <v>570</v>
      </c>
      <c r="F6">
        <f>E5+D6</f>
        <v>570</v>
      </c>
    </row>
    <row r="7" spans="1:8" x14ac:dyDescent="0.3">
      <c r="B7" s="60">
        <v>45295</v>
      </c>
      <c r="C7" s="37" t="s">
        <v>143</v>
      </c>
      <c r="D7" s="59">
        <v>250</v>
      </c>
      <c r="E7" s="37">
        <f>SUM($D$4:D7)</f>
        <v>820</v>
      </c>
      <c r="F7">
        <f t="shared" ref="F7:F12" si="0">E6+D7</f>
        <v>820</v>
      </c>
    </row>
    <row r="8" spans="1:8" x14ac:dyDescent="0.3">
      <c r="B8" s="60">
        <v>45296</v>
      </c>
      <c r="C8" s="37" t="s">
        <v>135</v>
      </c>
      <c r="D8" s="59">
        <v>130</v>
      </c>
      <c r="E8" s="37">
        <f>SUM($D$4:D8)</f>
        <v>950</v>
      </c>
      <c r="F8">
        <f t="shared" si="0"/>
        <v>950</v>
      </c>
    </row>
    <row r="9" spans="1:8" x14ac:dyDescent="0.3">
      <c r="B9" s="60">
        <v>45297</v>
      </c>
      <c r="C9" s="37" t="s">
        <v>137</v>
      </c>
      <c r="D9" s="59">
        <v>370</v>
      </c>
      <c r="E9" s="37">
        <f>SUM($D$4:D9)</f>
        <v>1320</v>
      </c>
      <c r="F9">
        <f t="shared" si="0"/>
        <v>1320</v>
      </c>
    </row>
    <row r="10" spans="1:8" x14ac:dyDescent="0.3">
      <c r="B10" s="60">
        <v>45298</v>
      </c>
      <c r="C10" s="37" t="s">
        <v>143</v>
      </c>
      <c r="D10" s="59">
        <v>280</v>
      </c>
      <c r="E10" s="37">
        <f>SUM($D$4:D10)</f>
        <v>1600</v>
      </c>
      <c r="F10">
        <f t="shared" si="0"/>
        <v>1600</v>
      </c>
    </row>
    <row r="11" spans="1:8" x14ac:dyDescent="0.3">
      <c r="B11" s="60">
        <v>45299</v>
      </c>
      <c r="C11" s="37" t="s">
        <v>135</v>
      </c>
      <c r="D11" s="59">
        <v>360</v>
      </c>
      <c r="E11" s="37">
        <f>SUM($D$4:D11)</f>
        <v>1960</v>
      </c>
      <c r="F11">
        <f t="shared" si="0"/>
        <v>1960</v>
      </c>
    </row>
    <row r="12" spans="1:8" x14ac:dyDescent="0.3">
      <c r="B12" s="60">
        <v>45300</v>
      </c>
      <c r="C12" s="37" t="s">
        <v>137</v>
      </c>
      <c r="D12" s="59">
        <v>420</v>
      </c>
      <c r="E12" s="37">
        <f>SUM($D$4:D12)</f>
        <v>2380</v>
      </c>
      <c r="F12">
        <f t="shared" si="0"/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I10" sqref="I9:I10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4">
        <v>8</v>
      </c>
      <c r="B1" s="136" t="s">
        <v>144</v>
      </c>
    </row>
    <row r="2" spans="1:6" x14ac:dyDescent="0.3">
      <c r="A2" s="35" t="s">
        <v>2</v>
      </c>
    </row>
    <row r="3" spans="1:6" x14ac:dyDescent="0.3">
      <c r="B3" s="12" t="s">
        <v>141</v>
      </c>
      <c r="C3" s="40" t="s">
        <v>145</v>
      </c>
      <c r="D3" s="3" t="s">
        <v>96</v>
      </c>
      <c r="E3" s="3" t="s">
        <v>13</v>
      </c>
    </row>
    <row r="4" spans="1:6" x14ac:dyDescent="0.3">
      <c r="B4" s="61">
        <v>45292</v>
      </c>
      <c r="C4" s="37" t="s">
        <v>142</v>
      </c>
      <c r="D4" s="59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1">
        <v>45293</v>
      </c>
      <c r="C5" s="37" t="s">
        <v>135</v>
      </c>
      <c r="D5" s="59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1">
        <v>45294</v>
      </c>
      <c r="C6" s="37" t="s">
        <v>137</v>
      </c>
      <c r="D6" s="59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1">
        <v>45295</v>
      </c>
      <c r="C7" s="37" t="s">
        <v>143</v>
      </c>
      <c r="D7" s="59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1">
        <v>45296</v>
      </c>
      <c r="C8" s="37" t="s">
        <v>135</v>
      </c>
      <c r="D8" s="59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1">
        <v>45297</v>
      </c>
      <c r="C9" s="37" t="s">
        <v>137</v>
      </c>
      <c r="D9" s="59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1">
        <v>45298</v>
      </c>
      <c r="C10" s="37" t="s">
        <v>143</v>
      </c>
      <c r="D10" s="59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1">
        <v>45299</v>
      </c>
      <c r="C11" s="37" t="s">
        <v>135</v>
      </c>
      <c r="D11" s="59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1">
        <v>45300</v>
      </c>
      <c r="C12" s="37" t="s">
        <v>137</v>
      </c>
      <c r="D12" s="59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4"/>
  <sheetViews>
    <sheetView zoomScale="130" zoomScaleNormal="130" workbookViewId="0">
      <pane ySplit="1" topLeftCell="A2" activePane="bottomLeft" state="frozen"/>
      <selection pane="bottomLeft" activeCell="D4" sqref="D4:D14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4">
        <v>9</v>
      </c>
      <c r="B1" s="136" t="s">
        <v>146</v>
      </c>
    </row>
    <row r="2" spans="1:6" x14ac:dyDescent="0.3">
      <c r="A2" s="35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7" t="s">
        <v>93</v>
      </c>
      <c r="D4" s="37">
        <v>180</v>
      </c>
      <c r="F4">
        <f>SUM('9'!$D$4:$D$13)</f>
        <v>36723</v>
      </c>
    </row>
    <row r="5" spans="1:6" x14ac:dyDescent="0.3">
      <c r="B5" s="15">
        <v>45293</v>
      </c>
      <c r="C5" s="37" t="s">
        <v>147</v>
      </c>
      <c r="D5" s="37">
        <v>220</v>
      </c>
    </row>
    <row r="6" spans="1:6" x14ac:dyDescent="0.3">
      <c r="B6" s="15">
        <v>45294</v>
      </c>
      <c r="C6" s="37" t="s">
        <v>148</v>
      </c>
      <c r="D6" s="37">
        <v>170</v>
      </c>
    </row>
    <row r="7" spans="1:6" x14ac:dyDescent="0.3">
      <c r="B7" s="15">
        <v>45295</v>
      </c>
      <c r="C7" s="37" t="s">
        <v>149</v>
      </c>
      <c r="D7" s="37">
        <v>250</v>
      </c>
    </row>
    <row r="8" spans="1:6" x14ac:dyDescent="0.3">
      <c r="B8" s="15">
        <v>45296</v>
      </c>
      <c r="C8" s="37" t="s">
        <v>147</v>
      </c>
      <c r="D8" s="37">
        <v>130</v>
      </c>
    </row>
    <row r="9" spans="1:6" x14ac:dyDescent="0.3">
      <c r="B9" s="15">
        <v>45297</v>
      </c>
      <c r="C9" s="37" t="s">
        <v>148</v>
      </c>
      <c r="D9" s="37">
        <v>370</v>
      </c>
    </row>
    <row r="10" spans="1:6" x14ac:dyDescent="0.3">
      <c r="B10" s="15">
        <v>45298</v>
      </c>
      <c r="C10" s="37" t="s">
        <v>149</v>
      </c>
      <c r="D10" s="37">
        <v>280</v>
      </c>
    </row>
    <row r="11" spans="1:6" x14ac:dyDescent="0.3">
      <c r="B11" s="15">
        <v>45299</v>
      </c>
      <c r="C11" s="37" t="s">
        <v>147</v>
      </c>
      <c r="D11" s="37">
        <v>360</v>
      </c>
    </row>
    <row r="12" spans="1:6" x14ac:dyDescent="0.3">
      <c r="B12" s="19">
        <v>45300</v>
      </c>
      <c r="C12" s="37" t="s">
        <v>148</v>
      </c>
      <c r="D12" s="37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  <row r="14" spans="1:6" x14ac:dyDescent="0.3">
      <c r="B14" s="19"/>
      <c r="C14" s="20"/>
      <c r="D14" s="139">
        <f>SUM(D4:D13)</f>
        <v>36723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5"/>
  <sheetViews>
    <sheetView zoomScale="130" zoomScaleNormal="130" workbookViewId="0">
      <pane ySplit="1" topLeftCell="A11" activePane="bottomLeft" state="frozen"/>
      <selection pane="bottomLeft" activeCell="D26" sqref="D26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4">
        <v>10</v>
      </c>
      <c r="B1" s="1" t="s">
        <v>150</v>
      </c>
    </row>
    <row r="2" spans="1:12" x14ac:dyDescent="0.3">
      <c r="A2" s="35" t="s">
        <v>2</v>
      </c>
    </row>
    <row r="3" spans="1:12" x14ac:dyDescent="0.3">
      <c r="B3" s="40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6"/>
      <c r="J3" s="36"/>
      <c r="K3" s="36"/>
      <c r="L3" s="36"/>
    </row>
    <row r="4" spans="1:12" x14ac:dyDescent="0.3">
      <c r="B4" s="37" t="s">
        <v>151</v>
      </c>
      <c r="C4" s="59" t="s">
        <v>90</v>
      </c>
      <c r="D4" s="37">
        <v>15000</v>
      </c>
      <c r="E4" s="37">
        <v>28000</v>
      </c>
      <c r="F4" s="37">
        <v>22000</v>
      </c>
      <c r="G4" s="4">
        <f>AVERAGE(D4:F4)</f>
        <v>21666.666666666668</v>
      </c>
    </row>
    <row r="5" spans="1:12" x14ac:dyDescent="0.3">
      <c r="B5" s="37" t="s">
        <v>138</v>
      </c>
      <c r="C5" s="59" t="s">
        <v>92</v>
      </c>
      <c r="D5" s="37">
        <v>22000</v>
      </c>
      <c r="E5" s="37">
        <v>9500</v>
      </c>
      <c r="F5" s="37">
        <v>7300</v>
      </c>
      <c r="G5" s="4">
        <f t="shared" ref="G5:G11" si="0">AVERAGE(D5:F5)</f>
        <v>12933.333333333334</v>
      </c>
    </row>
    <row r="6" spans="1:12" x14ac:dyDescent="0.3">
      <c r="B6" s="37" t="s">
        <v>152</v>
      </c>
      <c r="C6" s="59" t="s">
        <v>94</v>
      </c>
      <c r="D6" s="37">
        <v>8200</v>
      </c>
      <c r="E6" s="37">
        <v>11000</v>
      </c>
      <c r="F6" s="37">
        <v>31000</v>
      </c>
      <c r="G6" s="4">
        <f t="shared" si="0"/>
        <v>16733.333333333332</v>
      </c>
    </row>
    <row r="7" spans="1:12" x14ac:dyDescent="0.3">
      <c r="B7" s="37" t="s">
        <v>151</v>
      </c>
      <c r="C7" s="59" t="s">
        <v>90</v>
      </c>
      <c r="D7" s="37">
        <v>32000</v>
      </c>
      <c r="E7" s="37">
        <v>26000</v>
      </c>
      <c r="F7" s="37">
        <v>28000</v>
      </c>
      <c r="G7" s="4">
        <f t="shared" si="0"/>
        <v>28666.666666666668</v>
      </c>
    </row>
    <row r="8" spans="1:12" x14ac:dyDescent="0.3">
      <c r="B8" s="37" t="s">
        <v>138</v>
      </c>
      <c r="C8" s="59" t="s">
        <v>92</v>
      </c>
      <c r="D8" s="37">
        <v>19000</v>
      </c>
      <c r="E8" s="37">
        <v>8500</v>
      </c>
      <c r="F8" s="37">
        <v>9100</v>
      </c>
      <c r="G8" s="4">
        <f t="shared" si="0"/>
        <v>12200</v>
      </c>
    </row>
    <row r="9" spans="1:12" x14ac:dyDescent="0.3">
      <c r="B9" s="37" t="s">
        <v>152</v>
      </c>
      <c r="C9" s="59" t="s">
        <v>94</v>
      </c>
      <c r="D9" s="37">
        <v>27000</v>
      </c>
      <c r="E9" s="37">
        <v>15000</v>
      </c>
      <c r="F9" s="37">
        <v>9200</v>
      </c>
      <c r="G9" s="4">
        <f t="shared" si="0"/>
        <v>17066.666666666668</v>
      </c>
    </row>
    <row r="10" spans="1:12" x14ac:dyDescent="0.3">
      <c r="B10" s="37" t="s">
        <v>151</v>
      </c>
      <c r="C10" s="59" t="s">
        <v>90</v>
      </c>
      <c r="D10" s="37">
        <v>6300</v>
      </c>
      <c r="E10" s="37">
        <v>18000</v>
      </c>
      <c r="F10" s="37">
        <v>17000</v>
      </c>
      <c r="G10" s="4">
        <f t="shared" si="0"/>
        <v>13766.666666666666</v>
      </c>
    </row>
    <row r="11" spans="1:12" x14ac:dyDescent="0.3">
      <c r="B11" s="37" t="s">
        <v>138</v>
      </c>
      <c r="C11" s="59" t="s">
        <v>92</v>
      </c>
      <c r="D11" s="37">
        <v>7200</v>
      </c>
      <c r="E11" s="37">
        <v>26000</v>
      </c>
      <c r="F11" s="37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6"/>
      <c r="I16" s="36"/>
      <c r="J16" s="36"/>
    </row>
    <row r="17" spans="2:4" x14ac:dyDescent="0.3">
      <c r="B17" s="37" t="s">
        <v>89</v>
      </c>
      <c r="C17" s="37" t="s">
        <v>90</v>
      </c>
      <c r="D17" s="37">
        <v>21000</v>
      </c>
    </row>
    <row r="18" spans="2:4" x14ac:dyDescent="0.3">
      <c r="B18" s="37" t="s">
        <v>91</v>
      </c>
      <c r="C18" s="37" t="s">
        <v>92</v>
      </c>
      <c r="D18" s="37">
        <v>8900</v>
      </c>
    </row>
    <row r="19" spans="2:4" x14ac:dyDescent="0.3">
      <c r="B19" s="37" t="s">
        <v>93</v>
      </c>
      <c r="C19" s="37" t="s">
        <v>94</v>
      </c>
      <c r="D19" s="37">
        <v>32500</v>
      </c>
    </row>
    <row r="20" spans="2:4" x14ac:dyDescent="0.3">
      <c r="B20" s="37" t="s">
        <v>89</v>
      </c>
      <c r="C20" s="37" t="s">
        <v>90</v>
      </c>
      <c r="D20" s="37">
        <v>27500</v>
      </c>
    </row>
    <row r="21" spans="2:4" x14ac:dyDescent="0.3">
      <c r="B21" s="37" t="s">
        <v>91</v>
      </c>
      <c r="C21" s="37" t="s">
        <v>92</v>
      </c>
      <c r="D21" s="37">
        <v>9200</v>
      </c>
    </row>
    <row r="22" spans="2:4" x14ac:dyDescent="0.3">
      <c r="B22" s="37" t="s">
        <v>93</v>
      </c>
      <c r="C22" s="37" t="s">
        <v>94</v>
      </c>
      <c r="D22" s="37">
        <v>9100</v>
      </c>
    </row>
    <row r="23" spans="2:4" x14ac:dyDescent="0.3">
      <c r="B23" s="37" t="s">
        <v>89</v>
      </c>
      <c r="C23" s="37" t="s">
        <v>90</v>
      </c>
      <c r="D23" s="37">
        <v>29000</v>
      </c>
    </row>
    <row r="24" spans="2:4" x14ac:dyDescent="0.3">
      <c r="B24" s="37" t="s">
        <v>91</v>
      </c>
      <c r="C24" s="37" t="s">
        <v>92</v>
      </c>
      <c r="D24" s="37">
        <v>96400</v>
      </c>
    </row>
    <row r="25" spans="2:4" x14ac:dyDescent="0.3">
      <c r="D25">
        <f>AVERAGE(D17:D24)</f>
        <v>29200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4">
        <v>11</v>
      </c>
      <c r="B1" s="1" t="s">
        <v>153</v>
      </c>
    </row>
    <row r="2" spans="1:11" x14ac:dyDescent="0.3">
      <c r="A2" s="35" t="s">
        <v>2</v>
      </c>
    </row>
    <row r="3" spans="1:11" x14ac:dyDescent="0.3">
      <c r="B3" s="38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6"/>
      <c r="J3" s="36"/>
      <c r="K3" s="36"/>
    </row>
    <row r="4" spans="1:11" x14ac:dyDescent="0.3">
      <c r="B4" s="37" t="s">
        <v>155</v>
      </c>
      <c r="C4" s="37" t="s">
        <v>90</v>
      </c>
      <c r="D4" s="37">
        <v>19500</v>
      </c>
      <c r="F4" s="37" t="s">
        <v>156</v>
      </c>
      <c r="G4" s="4">
        <f>AVERAGEIF(B4:B11,F4,D4:D11)</f>
        <v>7466.666666666667</v>
      </c>
    </row>
    <row r="5" spans="1:11" x14ac:dyDescent="0.3">
      <c r="B5" s="37" t="s">
        <v>156</v>
      </c>
      <c r="C5" s="37" t="s">
        <v>92</v>
      </c>
      <c r="D5" s="37">
        <v>6200</v>
      </c>
      <c r="F5" s="37" t="s">
        <v>155</v>
      </c>
      <c r="G5" s="4">
        <f>AVERAGEIF(B5:B12,F5,D5:D12)</f>
        <v>27750</v>
      </c>
    </row>
    <row r="6" spans="1:11" x14ac:dyDescent="0.3">
      <c r="B6" s="37" t="s">
        <v>157</v>
      </c>
      <c r="C6" s="37" t="s">
        <v>94</v>
      </c>
      <c r="D6" s="37">
        <v>31500</v>
      </c>
    </row>
    <row r="7" spans="1:11" x14ac:dyDescent="0.3">
      <c r="B7" s="37" t="s">
        <v>155</v>
      </c>
      <c r="C7" s="37" t="s">
        <v>90</v>
      </c>
      <c r="D7" s="37">
        <v>28500</v>
      </c>
    </row>
    <row r="8" spans="1:11" x14ac:dyDescent="0.3">
      <c r="B8" s="37" t="s">
        <v>156</v>
      </c>
      <c r="C8" s="37" t="s">
        <v>92</v>
      </c>
      <c r="D8" s="37">
        <v>9400</v>
      </c>
    </row>
    <row r="9" spans="1:11" x14ac:dyDescent="0.3">
      <c r="B9" s="37" t="s">
        <v>157</v>
      </c>
      <c r="C9" s="37" t="s">
        <v>94</v>
      </c>
      <c r="D9" s="37">
        <v>7200</v>
      </c>
    </row>
    <row r="10" spans="1:11" x14ac:dyDescent="0.3">
      <c r="B10" s="37" t="s">
        <v>155</v>
      </c>
      <c r="C10" s="37" t="s">
        <v>90</v>
      </c>
      <c r="D10" s="37">
        <v>27000</v>
      </c>
    </row>
    <row r="11" spans="1:11" x14ac:dyDescent="0.3">
      <c r="B11" s="37" t="s">
        <v>156</v>
      </c>
      <c r="C11" s="37" t="s">
        <v>92</v>
      </c>
      <c r="D11" s="37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13" sqref="G13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4">
        <v>12</v>
      </c>
      <c r="B1" s="1" t="s">
        <v>158</v>
      </c>
    </row>
    <row r="2" spans="1:10" x14ac:dyDescent="0.3">
      <c r="A2" s="35" t="s">
        <v>2</v>
      </c>
    </row>
    <row r="3" spans="1:10" x14ac:dyDescent="0.3">
      <c r="B3" s="38" t="s">
        <v>83</v>
      </c>
      <c r="C3" s="38" t="s">
        <v>84</v>
      </c>
      <c r="D3" s="62" t="s">
        <v>96</v>
      </c>
      <c r="F3" s="63" t="s">
        <v>83</v>
      </c>
      <c r="G3" s="38" t="s">
        <v>154</v>
      </c>
      <c r="H3" s="36"/>
      <c r="I3" s="36"/>
      <c r="J3" s="36"/>
    </row>
    <row r="4" spans="1:10" x14ac:dyDescent="0.3">
      <c r="B4" s="37" t="s">
        <v>159</v>
      </c>
      <c r="C4" s="37" t="s">
        <v>90</v>
      </c>
      <c r="D4" s="59">
        <v>22500</v>
      </c>
      <c r="F4" s="37" t="s">
        <v>161</v>
      </c>
      <c r="G4" s="37">
        <f>IFERROR(AVERAGEIF(B4:B11,F4,D4:D11),"error")</f>
        <v>7166.666666666667</v>
      </c>
    </row>
    <row r="5" spans="1:10" x14ac:dyDescent="0.3">
      <c r="B5" s="37" t="s">
        <v>161</v>
      </c>
      <c r="C5" s="37" t="s">
        <v>92</v>
      </c>
      <c r="D5" s="59">
        <v>5800</v>
      </c>
      <c r="F5" t="s">
        <v>160</v>
      </c>
      <c r="G5" s="37" t="str">
        <f t="shared" ref="G5:G6" si="0">IFERROR(AVERAGEIF(B5:B12,F5,D5:D12),"error")</f>
        <v>error</v>
      </c>
    </row>
    <row r="6" spans="1:10" x14ac:dyDescent="0.3">
      <c r="B6" s="37" t="s">
        <v>162</v>
      </c>
      <c r="C6" s="37" t="s">
        <v>94</v>
      </c>
      <c r="D6" s="59">
        <v>29800</v>
      </c>
      <c r="F6" s="37" t="s">
        <v>159</v>
      </c>
      <c r="G6" s="37">
        <f t="shared" si="0"/>
        <v>29500</v>
      </c>
    </row>
    <row r="7" spans="1:10" x14ac:dyDescent="0.3">
      <c r="B7" s="37" t="s">
        <v>159</v>
      </c>
      <c r="C7" s="37" t="s">
        <v>90</v>
      </c>
      <c r="D7" s="59">
        <v>31000</v>
      </c>
      <c r="G7" s="37" t="str">
        <f>IFERROR(AVERAGEIF(B7:B14,F7,D7:D14),"not found")</f>
        <v>not found</v>
      </c>
    </row>
    <row r="8" spans="1:10" x14ac:dyDescent="0.3">
      <c r="B8" s="37" t="s">
        <v>161</v>
      </c>
      <c r="C8" s="37" t="s">
        <v>92</v>
      </c>
      <c r="D8" s="59">
        <v>9100</v>
      </c>
    </row>
    <row r="9" spans="1:10" x14ac:dyDescent="0.3">
      <c r="B9" s="37" t="s">
        <v>162</v>
      </c>
      <c r="C9" s="37" t="s">
        <v>94</v>
      </c>
      <c r="D9" s="59">
        <v>6900</v>
      </c>
    </row>
    <row r="10" spans="1:10" x14ac:dyDescent="0.3">
      <c r="B10" s="37" t="s">
        <v>159</v>
      </c>
      <c r="C10" s="37" t="s">
        <v>90</v>
      </c>
      <c r="D10" s="59">
        <v>28000</v>
      </c>
    </row>
    <row r="11" spans="1:10" x14ac:dyDescent="0.3">
      <c r="B11" s="37" t="s">
        <v>161</v>
      </c>
      <c r="C11" s="37" t="s">
        <v>92</v>
      </c>
      <c r="D11" s="59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:H5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4">
        <v>13</v>
      </c>
      <c r="B1" s="1" t="s">
        <v>163</v>
      </c>
    </row>
    <row r="2" spans="1:12" x14ac:dyDescent="0.3">
      <c r="A2" s="35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6"/>
      <c r="K3" s="36"/>
      <c r="L3" s="36"/>
    </row>
    <row r="4" spans="1:12" x14ac:dyDescent="0.3">
      <c r="B4" s="37" t="s">
        <v>159</v>
      </c>
      <c r="C4" s="37" t="s">
        <v>90</v>
      </c>
      <c r="D4" s="37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7" t="s">
        <v>161</v>
      </c>
      <c r="C5" s="37" t="s">
        <v>94</v>
      </c>
      <c r="D5" s="37">
        <v>28500</v>
      </c>
      <c r="F5" s="37" t="s">
        <v>162</v>
      </c>
      <c r="G5" s="37" t="s">
        <v>94</v>
      </c>
      <c r="H5" s="4">
        <f>AVERAGEIFS(D5:D12,B5:B12,F5,C5:C12,G5)</f>
        <v>16100</v>
      </c>
    </row>
    <row r="6" spans="1:12" x14ac:dyDescent="0.3">
      <c r="B6" s="37" t="s">
        <v>162</v>
      </c>
      <c r="C6" s="37" t="s">
        <v>94</v>
      </c>
      <c r="D6" s="37">
        <v>7200</v>
      </c>
    </row>
    <row r="7" spans="1:12" x14ac:dyDescent="0.3">
      <c r="B7" s="37" t="s">
        <v>159</v>
      </c>
      <c r="C7" s="37" t="s">
        <v>90</v>
      </c>
      <c r="D7" s="37">
        <v>33000</v>
      </c>
    </row>
    <row r="8" spans="1:12" x14ac:dyDescent="0.3">
      <c r="B8" s="37" t="s">
        <v>161</v>
      </c>
      <c r="C8" s="37" t="s">
        <v>94</v>
      </c>
      <c r="D8" s="37">
        <v>32000</v>
      </c>
    </row>
    <row r="9" spans="1:12" x14ac:dyDescent="0.3">
      <c r="B9" s="37" t="s">
        <v>162</v>
      </c>
      <c r="C9" s="37" t="s">
        <v>94</v>
      </c>
      <c r="D9" s="37">
        <v>25000</v>
      </c>
    </row>
    <row r="10" spans="1:12" x14ac:dyDescent="0.3">
      <c r="B10" s="37" t="s">
        <v>159</v>
      </c>
      <c r="C10" s="37" t="s">
        <v>117</v>
      </c>
      <c r="D10" s="37">
        <v>4600</v>
      </c>
    </row>
    <row r="11" spans="1:12" x14ac:dyDescent="0.3">
      <c r="B11" s="37" t="s">
        <v>161</v>
      </c>
      <c r="C11" s="37" t="s">
        <v>92</v>
      </c>
      <c r="D11" s="37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4">
        <v>14</v>
      </c>
      <c r="B1" s="1" t="s">
        <v>20</v>
      </c>
      <c r="C1" s="1"/>
    </row>
    <row r="2" spans="1:7" x14ac:dyDescent="0.3">
      <c r="A2" s="35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6"/>
      <c r="F3" s="36"/>
      <c r="G3" s="36"/>
    </row>
    <row r="4" spans="1:7" x14ac:dyDescent="0.3">
      <c r="B4" s="37" t="s">
        <v>89</v>
      </c>
      <c r="C4" s="37" t="s">
        <v>166</v>
      </c>
      <c r="D4" s="37"/>
      <c r="E4">
        <f>LEN(B4)</f>
        <v>6</v>
      </c>
    </row>
    <row r="5" spans="1:7" x14ac:dyDescent="0.3">
      <c r="B5" s="37" t="s">
        <v>91</v>
      </c>
      <c r="C5" s="37" t="s">
        <v>977</v>
      </c>
      <c r="D5" s="37"/>
      <c r="E5">
        <f>LEN(C5)</f>
        <v>18</v>
      </c>
    </row>
    <row r="6" spans="1:7" x14ac:dyDescent="0.3">
      <c r="B6" s="37" t="s">
        <v>93</v>
      </c>
      <c r="C6" s="37" t="s">
        <v>167</v>
      </c>
      <c r="D6" s="37"/>
    </row>
    <row r="7" spans="1:7" x14ac:dyDescent="0.3">
      <c r="B7" s="37" t="s">
        <v>91</v>
      </c>
      <c r="C7" s="37"/>
      <c r="D7" s="37"/>
    </row>
    <row r="8" spans="1:7" x14ac:dyDescent="0.3">
      <c r="B8" s="37" t="s">
        <v>91</v>
      </c>
      <c r="C8" s="37"/>
      <c r="D8" s="37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4">
        <v>15</v>
      </c>
      <c r="B1" s="1" t="s">
        <v>168</v>
      </c>
    </row>
    <row r="2" spans="1:12" x14ac:dyDescent="0.3">
      <c r="A2" s="35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6"/>
    </row>
    <row r="4" spans="1:12" x14ac:dyDescent="0.3">
      <c r="B4" s="37" t="s">
        <v>170</v>
      </c>
      <c r="C4" s="37" t="s">
        <v>90</v>
      </c>
      <c r="D4" s="37">
        <v>15000</v>
      </c>
      <c r="E4" s="37">
        <v>32000</v>
      </c>
      <c r="F4" s="37">
        <v>22000</v>
      </c>
    </row>
    <row r="5" spans="1:12" x14ac:dyDescent="0.3">
      <c r="B5" s="37" t="s">
        <v>171</v>
      </c>
      <c r="C5" s="37" t="s">
        <v>92</v>
      </c>
      <c r="D5" s="37">
        <v>28000</v>
      </c>
      <c r="E5" s="37">
        <v>9100</v>
      </c>
      <c r="F5" s="37">
        <v>7300</v>
      </c>
      <c r="H5" s="47"/>
      <c r="I5" s="36"/>
      <c r="J5" s="36"/>
      <c r="L5" s="36"/>
    </row>
    <row r="6" spans="1:12" x14ac:dyDescent="0.3">
      <c r="B6" s="37" t="s">
        <v>172</v>
      </c>
      <c r="C6" s="37" t="s">
        <v>94</v>
      </c>
      <c r="D6" s="37">
        <v>8200</v>
      </c>
      <c r="E6" s="37">
        <v>9200</v>
      </c>
      <c r="F6" s="37">
        <v>31000</v>
      </c>
      <c r="H6" s="48"/>
    </row>
    <row r="7" spans="1:12" x14ac:dyDescent="0.3">
      <c r="B7" s="37" t="s">
        <v>170</v>
      </c>
      <c r="C7" s="37" t="s">
        <v>90</v>
      </c>
      <c r="D7" s="37">
        <v>8100</v>
      </c>
      <c r="E7" s="37">
        <v>26500</v>
      </c>
      <c r="F7" s="37">
        <v>29000</v>
      </c>
      <c r="H7" s="48"/>
    </row>
    <row r="8" spans="1:12" x14ac:dyDescent="0.3">
      <c r="B8" s="37" t="s">
        <v>171</v>
      </c>
      <c r="C8" s="37" t="s">
        <v>92</v>
      </c>
      <c r="D8" s="37">
        <v>19000</v>
      </c>
      <c r="E8" s="37">
        <v>8700</v>
      </c>
      <c r="F8" s="37">
        <v>9100</v>
      </c>
      <c r="H8" s="48"/>
    </row>
    <row r="9" spans="1:12" x14ac:dyDescent="0.3">
      <c r="B9" s="37" t="s">
        <v>172</v>
      </c>
      <c r="C9" s="37" t="s">
        <v>94</v>
      </c>
      <c r="D9" s="37">
        <v>27000</v>
      </c>
      <c r="E9" s="37">
        <v>15000</v>
      </c>
      <c r="F9" s="37">
        <v>9200</v>
      </c>
      <c r="H9" s="48"/>
    </row>
    <row r="10" spans="1:12" x14ac:dyDescent="0.3">
      <c r="B10" s="37" t="s">
        <v>170</v>
      </c>
      <c r="C10" s="37" t="s">
        <v>90</v>
      </c>
      <c r="D10" s="37">
        <v>6300</v>
      </c>
      <c r="E10" s="37">
        <v>18000</v>
      </c>
      <c r="F10" s="37">
        <v>17000</v>
      </c>
      <c r="H10" s="48"/>
    </row>
    <row r="11" spans="1:12" x14ac:dyDescent="0.3">
      <c r="B11" s="37" t="s">
        <v>171</v>
      </c>
      <c r="C11" s="37" t="s">
        <v>92</v>
      </c>
      <c r="D11" s="37">
        <v>7200</v>
      </c>
      <c r="E11" s="37">
        <v>26000</v>
      </c>
      <c r="F11" s="37">
        <v>8300</v>
      </c>
      <c r="H11" s="48"/>
    </row>
    <row r="12" spans="1:12" x14ac:dyDescent="0.3">
      <c r="H12" s="48"/>
    </row>
    <row r="13" spans="1:12" x14ac:dyDescent="0.3">
      <c r="H13" s="48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8" sqref="I8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4">
        <v>16</v>
      </c>
      <c r="B1" s="1" t="s">
        <v>173</v>
      </c>
    </row>
    <row r="2" spans="1:12" x14ac:dyDescent="0.3">
      <c r="A2" s="35" t="s">
        <v>2</v>
      </c>
    </row>
    <row r="3" spans="1:12" x14ac:dyDescent="0.3">
      <c r="B3" s="38" t="s">
        <v>83</v>
      </c>
      <c r="C3" s="38" t="s">
        <v>84</v>
      </c>
      <c r="D3" s="38" t="s">
        <v>85</v>
      </c>
      <c r="E3" s="38" t="s">
        <v>86</v>
      </c>
      <c r="F3" s="38" t="s">
        <v>87</v>
      </c>
      <c r="H3" s="3" t="s">
        <v>174</v>
      </c>
      <c r="I3" s="4">
        <f>LARGE(D4:F11,1)</f>
        <v>99600</v>
      </c>
      <c r="K3" s="36"/>
    </row>
    <row r="4" spans="1:12" x14ac:dyDescent="0.3">
      <c r="B4" s="37" t="s">
        <v>175</v>
      </c>
      <c r="C4" s="37" t="s">
        <v>90</v>
      </c>
      <c r="D4" s="37">
        <v>15500</v>
      </c>
      <c r="E4" s="37">
        <v>29500</v>
      </c>
      <c r="F4" s="37">
        <v>22000</v>
      </c>
      <c r="H4" s="3" t="s">
        <v>176</v>
      </c>
      <c r="I4" s="4">
        <f>LARGE(D5:F12,2)</f>
        <v>34000</v>
      </c>
    </row>
    <row r="5" spans="1:12" x14ac:dyDescent="0.3">
      <c r="B5" s="37" t="s">
        <v>177</v>
      </c>
      <c r="C5" s="37" t="s">
        <v>92</v>
      </c>
      <c r="D5" s="37">
        <v>28500</v>
      </c>
      <c r="E5" s="37">
        <v>9400</v>
      </c>
      <c r="F5" s="37">
        <v>7200</v>
      </c>
      <c r="H5" s="3" t="s">
        <v>178</v>
      </c>
      <c r="I5" s="4">
        <f>LARGE(D4:F11,4)</f>
        <v>30500</v>
      </c>
    </row>
    <row r="6" spans="1:12" x14ac:dyDescent="0.3">
      <c r="B6" s="37" t="s">
        <v>179</v>
      </c>
      <c r="C6" s="37" t="s">
        <v>94</v>
      </c>
      <c r="D6" s="37">
        <v>8200</v>
      </c>
      <c r="E6" s="37">
        <v>99600</v>
      </c>
      <c r="F6" s="37">
        <v>30500</v>
      </c>
      <c r="I6" s="4">
        <f>LARGE(D5:F12,3)</f>
        <v>31000</v>
      </c>
    </row>
    <row r="7" spans="1:12" x14ac:dyDescent="0.3">
      <c r="B7" s="37" t="s">
        <v>175</v>
      </c>
      <c r="C7" s="37" t="s">
        <v>90</v>
      </c>
      <c r="D7" s="37">
        <v>34000</v>
      </c>
      <c r="E7" s="37">
        <v>28000</v>
      </c>
      <c r="F7" s="37">
        <v>31000</v>
      </c>
      <c r="H7" s="36"/>
      <c r="I7" s="36"/>
      <c r="J7" s="36"/>
      <c r="L7" s="36"/>
    </row>
    <row r="8" spans="1:12" x14ac:dyDescent="0.3">
      <c r="B8" s="37" t="s">
        <v>177</v>
      </c>
      <c r="C8" s="37" t="s">
        <v>92</v>
      </c>
      <c r="D8" s="37">
        <v>26500</v>
      </c>
      <c r="E8" s="37">
        <v>8700</v>
      </c>
      <c r="F8" s="37">
        <v>9100</v>
      </c>
    </row>
    <row r="9" spans="1:12" x14ac:dyDescent="0.3">
      <c r="B9" s="37" t="s">
        <v>179</v>
      </c>
      <c r="C9" s="37" t="s">
        <v>94</v>
      </c>
      <c r="D9" s="37">
        <v>27000</v>
      </c>
      <c r="E9" s="37">
        <v>14000</v>
      </c>
      <c r="F9" s="37">
        <v>9800</v>
      </c>
    </row>
    <row r="10" spans="1:12" x14ac:dyDescent="0.3">
      <c r="B10" s="37" t="s">
        <v>175</v>
      </c>
      <c r="C10" s="37" t="s">
        <v>90</v>
      </c>
      <c r="D10" s="37">
        <v>6300</v>
      </c>
      <c r="E10" s="37">
        <v>17500</v>
      </c>
      <c r="F10" s="37">
        <v>16500</v>
      </c>
    </row>
    <row r="11" spans="1:12" x14ac:dyDescent="0.3">
      <c r="B11" s="37" t="s">
        <v>177</v>
      </c>
      <c r="C11" s="37" t="s">
        <v>92</v>
      </c>
      <c r="D11" s="37">
        <v>7900</v>
      </c>
      <c r="E11" s="37">
        <v>21000</v>
      </c>
      <c r="F11" s="37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4">
        <v>17</v>
      </c>
      <c r="B1" s="1" t="s">
        <v>180</v>
      </c>
    </row>
    <row r="2" spans="1:10" x14ac:dyDescent="0.3">
      <c r="A2" s="35" t="s">
        <v>2</v>
      </c>
    </row>
    <row r="3" spans="1:10" x14ac:dyDescent="0.3">
      <c r="B3" s="64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6"/>
    </row>
    <row r="4" spans="1:10" x14ac:dyDescent="0.3">
      <c r="B4" s="37" t="s">
        <v>142</v>
      </c>
      <c r="C4" s="4" t="s">
        <v>90</v>
      </c>
      <c r="D4" s="37">
        <v>15500</v>
      </c>
      <c r="E4" s="37">
        <v>29500</v>
      </c>
      <c r="F4" s="37">
        <v>22000</v>
      </c>
    </row>
    <row r="5" spans="1:10" x14ac:dyDescent="0.3">
      <c r="B5" s="37" t="s">
        <v>182</v>
      </c>
      <c r="C5" s="4" t="s">
        <v>92</v>
      </c>
      <c r="D5" s="37">
        <v>28500</v>
      </c>
      <c r="E5" s="37">
        <v>9400</v>
      </c>
      <c r="F5" s="37">
        <v>7200</v>
      </c>
    </row>
    <row r="6" spans="1:10" x14ac:dyDescent="0.3">
      <c r="B6" s="37" t="s">
        <v>183</v>
      </c>
      <c r="C6" s="4" t="s">
        <v>94</v>
      </c>
      <c r="D6" s="37">
        <v>8200</v>
      </c>
      <c r="E6" s="37">
        <v>99600</v>
      </c>
      <c r="F6" s="37">
        <v>30500</v>
      </c>
    </row>
    <row r="7" spans="1:10" x14ac:dyDescent="0.3">
      <c r="B7" s="37" t="s">
        <v>142</v>
      </c>
      <c r="C7" s="4" t="s">
        <v>90</v>
      </c>
      <c r="D7" s="37">
        <v>34000</v>
      </c>
      <c r="E7" s="37">
        <v>28000</v>
      </c>
      <c r="F7" s="37">
        <v>31000</v>
      </c>
    </row>
    <row r="8" spans="1:10" x14ac:dyDescent="0.3">
      <c r="B8" s="37" t="s">
        <v>182</v>
      </c>
      <c r="C8" s="4" t="s">
        <v>92</v>
      </c>
      <c r="D8" s="37">
        <v>26500</v>
      </c>
      <c r="E8" s="37">
        <v>8700</v>
      </c>
      <c r="F8" s="37">
        <v>9100</v>
      </c>
    </row>
    <row r="9" spans="1:10" x14ac:dyDescent="0.3">
      <c r="B9" s="37" t="s">
        <v>183</v>
      </c>
      <c r="C9" s="4" t="s">
        <v>94</v>
      </c>
      <c r="D9" s="37">
        <v>27000</v>
      </c>
      <c r="E9" s="37">
        <v>14000</v>
      </c>
      <c r="F9" s="37">
        <v>9800</v>
      </c>
    </row>
    <row r="10" spans="1:10" x14ac:dyDescent="0.3">
      <c r="B10" s="37" t="s">
        <v>142</v>
      </c>
      <c r="C10" s="4" t="s">
        <v>90</v>
      </c>
      <c r="D10" s="37">
        <v>6300</v>
      </c>
      <c r="E10" s="37">
        <v>17500</v>
      </c>
      <c r="F10" s="37">
        <v>16500</v>
      </c>
    </row>
    <row r="11" spans="1:10" x14ac:dyDescent="0.3">
      <c r="B11" s="37" t="s">
        <v>182</v>
      </c>
      <c r="C11" s="4" t="s">
        <v>92</v>
      </c>
      <c r="D11" s="37">
        <v>7900</v>
      </c>
      <c r="E11" s="37">
        <v>21000</v>
      </c>
      <c r="F11" s="37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4">
        <v>18</v>
      </c>
      <c r="B1" s="1" t="s">
        <v>184</v>
      </c>
    </row>
    <row r="2" spans="1:11" x14ac:dyDescent="0.3">
      <c r="A2" s="35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6"/>
    </row>
    <row r="4" spans="1:11" x14ac:dyDescent="0.3">
      <c r="B4" s="37" t="s">
        <v>186</v>
      </c>
      <c r="C4" s="4" t="s">
        <v>90</v>
      </c>
      <c r="D4" s="37">
        <v>15500</v>
      </c>
      <c r="E4" s="37">
        <v>29500</v>
      </c>
      <c r="F4" s="37">
        <v>22000</v>
      </c>
      <c r="H4" s="3" t="s">
        <v>187</v>
      </c>
      <c r="I4" s="4">
        <f>SMALL(D4:F11,2)</f>
        <v>7200</v>
      </c>
    </row>
    <row r="5" spans="1:11" x14ac:dyDescent="0.3">
      <c r="B5" s="37" t="s">
        <v>188</v>
      </c>
      <c r="C5" s="4" t="s">
        <v>92</v>
      </c>
      <c r="D5" s="37">
        <v>28500</v>
      </c>
      <c r="E5" s="37">
        <v>9400</v>
      </c>
      <c r="F5" s="37">
        <v>7200</v>
      </c>
      <c r="H5" s="3" t="s">
        <v>189</v>
      </c>
      <c r="I5" s="4">
        <f>SMALL(D4:F11,3)</f>
        <v>7900</v>
      </c>
    </row>
    <row r="6" spans="1:11" x14ac:dyDescent="0.3">
      <c r="B6" s="37" t="s">
        <v>190</v>
      </c>
      <c r="C6" s="4" t="s">
        <v>94</v>
      </c>
      <c r="D6" s="37">
        <v>8200</v>
      </c>
      <c r="E6" s="37">
        <v>99600</v>
      </c>
      <c r="F6" s="37">
        <v>30500</v>
      </c>
    </row>
    <row r="7" spans="1:11" x14ac:dyDescent="0.3">
      <c r="B7" s="37" t="s">
        <v>186</v>
      </c>
      <c r="C7" s="4" t="s">
        <v>90</v>
      </c>
      <c r="D7" s="37">
        <v>34000</v>
      </c>
      <c r="E7" s="37">
        <v>28000</v>
      </c>
      <c r="F7" s="37">
        <v>31000</v>
      </c>
    </row>
    <row r="8" spans="1:11" x14ac:dyDescent="0.3">
      <c r="B8" s="37" t="s">
        <v>188</v>
      </c>
      <c r="C8" s="4" t="s">
        <v>92</v>
      </c>
      <c r="D8" s="37">
        <v>26500</v>
      </c>
      <c r="E8" s="37">
        <v>8700</v>
      </c>
      <c r="F8" s="37">
        <v>9100</v>
      </c>
    </row>
    <row r="9" spans="1:11" x14ac:dyDescent="0.3">
      <c r="B9" s="37" t="s">
        <v>190</v>
      </c>
      <c r="C9" s="4" t="s">
        <v>94</v>
      </c>
      <c r="D9" s="37">
        <v>27000</v>
      </c>
      <c r="E9" s="37">
        <v>14000</v>
      </c>
      <c r="F9" s="37">
        <v>9800</v>
      </c>
    </row>
    <row r="10" spans="1:11" x14ac:dyDescent="0.3">
      <c r="B10" s="37" t="s">
        <v>186</v>
      </c>
      <c r="C10" s="4" t="s">
        <v>90</v>
      </c>
      <c r="D10" s="37">
        <v>6300</v>
      </c>
      <c r="E10" s="37">
        <v>17500</v>
      </c>
      <c r="F10" s="37">
        <v>16500</v>
      </c>
    </row>
    <row r="11" spans="1:11" x14ac:dyDescent="0.3">
      <c r="B11" s="37" t="s">
        <v>188</v>
      </c>
      <c r="C11" s="4" t="s">
        <v>92</v>
      </c>
      <c r="D11" s="37">
        <v>7900</v>
      </c>
      <c r="E11" s="37">
        <v>21000</v>
      </c>
      <c r="F11" s="37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4" sqref="H4:H11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4">
        <v>19</v>
      </c>
      <c r="B1" s="1" t="s">
        <v>191</v>
      </c>
    </row>
    <row r="2" spans="1:12" x14ac:dyDescent="0.3">
      <c r="A2" s="35" t="s">
        <v>2</v>
      </c>
    </row>
    <row r="3" spans="1:12" x14ac:dyDescent="0.3">
      <c r="B3" s="40" t="s">
        <v>192</v>
      </c>
      <c r="C3" s="40" t="s">
        <v>193</v>
      </c>
      <c r="D3" s="40" t="s">
        <v>194</v>
      </c>
      <c r="E3" s="40" t="s">
        <v>195</v>
      </c>
      <c r="F3" s="3" t="s">
        <v>196</v>
      </c>
      <c r="G3" s="3" t="s">
        <v>197</v>
      </c>
      <c r="I3" s="36"/>
      <c r="J3" s="36"/>
      <c r="K3" s="36"/>
      <c r="L3" s="36"/>
    </row>
    <row r="4" spans="1:12" x14ac:dyDescent="0.3">
      <c r="B4" s="37" t="s">
        <v>205</v>
      </c>
      <c r="C4" s="37">
        <v>89</v>
      </c>
      <c r="D4" s="37">
        <v>71</v>
      </c>
      <c r="E4" s="37">
        <v>85</v>
      </c>
      <c r="F4" s="41">
        <f t="shared" ref="F4:F11" si="0">SUM(C4:E4)</f>
        <v>245</v>
      </c>
      <c r="G4" s="4">
        <f t="shared" ref="G4:G11" si="1">RANK(F4,$F$4:$F$11,-1)</f>
        <v>8</v>
      </c>
      <c r="H4">
        <f t="shared" ref="H4:H11" si="2">RANK(F4,$F$4:$F$11,1)</f>
        <v>8</v>
      </c>
    </row>
    <row r="5" spans="1:12" x14ac:dyDescent="0.3">
      <c r="B5" s="37" t="s">
        <v>200</v>
      </c>
      <c r="C5" s="37">
        <v>67</v>
      </c>
      <c r="D5" s="37">
        <v>59</v>
      </c>
      <c r="E5" s="37">
        <v>35</v>
      </c>
      <c r="F5" s="41">
        <f t="shared" si="0"/>
        <v>161</v>
      </c>
      <c r="G5" s="4">
        <f t="shared" si="1"/>
        <v>2</v>
      </c>
      <c r="H5">
        <f t="shared" si="2"/>
        <v>2</v>
      </c>
    </row>
    <row r="6" spans="1:12" x14ac:dyDescent="0.3">
      <c r="B6" s="37" t="s">
        <v>201</v>
      </c>
      <c r="C6" s="37">
        <v>54</v>
      </c>
      <c r="D6" s="37">
        <v>53</v>
      </c>
      <c r="E6" s="37">
        <v>70</v>
      </c>
      <c r="F6" s="41">
        <f t="shared" si="0"/>
        <v>177</v>
      </c>
      <c r="G6" s="4">
        <f t="shared" si="1"/>
        <v>4</v>
      </c>
      <c r="H6">
        <f t="shared" si="2"/>
        <v>4</v>
      </c>
    </row>
    <row r="7" spans="1:12" x14ac:dyDescent="0.3">
      <c r="B7" s="37" t="s">
        <v>199</v>
      </c>
      <c r="C7" s="37">
        <v>42</v>
      </c>
      <c r="D7" s="37">
        <v>60</v>
      </c>
      <c r="E7" s="37">
        <v>72</v>
      </c>
      <c r="F7" s="41">
        <f t="shared" si="0"/>
        <v>174</v>
      </c>
      <c r="G7" s="4">
        <f t="shared" si="1"/>
        <v>3</v>
      </c>
      <c r="H7">
        <f t="shared" si="2"/>
        <v>3</v>
      </c>
    </row>
    <row r="8" spans="1:12" x14ac:dyDescent="0.3">
      <c r="B8" s="37" t="s">
        <v>202</v>
      </c>
      <c r="C8" s="37">
        <v>81</v>
      </c>
      <c r="D8" s="37">
        <v>61</v>
      </c>
      <c r="E8" s="37">
        <v>42</v>
      </c>
      <c r="F8" s="41">
        <f t="shared" si="0"/>
        <v>184</v>
      </c>
      <c r="G8" s="4">
        <f t="shared" si="1"/>
        <v>5</v>
      </c>
      <c r="H8">
        <f t="shared" si="2"/>
        <v>5</v>
      </c>
    </row>
    <row r="9" spans="1:12" x14ac:dyDescent="0.3">
      <c r="B9" s="37" t="s">
        <v>204</v>
      </c>
      <c r="C9" s="37">
        <v>78</v>
      </c>
      <c r="D9" s="37">
        <v>87</v>
      </c>
      <c r="E9" s="37">
        <v>60</v>
      </c>
      <c r="F9" s="41">
        <f t="shared" si="0"/>
        <v>225</v>
      </c>
      <c r="G9" s="4">
        <f t="shared" si="1"/>
        <v>7</v>
      </c>
      <c r="H9">
        <f t="shared" si="2"/>
        <v>7</v>
      </c>
    </row>
    <row r="10" spans="1:12" x14ac:dyDescent="0.3">
      <c r="B10" s="37" t="s">
        <v>203</v>
      </c>
      <c r="C10" s="37">
        <v>51</v>
      </c>
      <c r="D10" s="37">
        <v>92</v>
      </c>
      <c r="E10" s="37">
        <v>66</v>
      </c>
      <c r="F10" s="41">
        <f t="shared" si="0"/>
        <v>209</v>
      </c>
      <c r="G10" s="4">
        <f t="shared" si="1"/>
        <v>6</v>
      </c>
      <c r="H10">
        <f t="shared" si="2"/>
        <v>6</v>
      </c>
    </row>
    <row r="11" spans="1:12" x14ac:dyDescent="0.3">
      <c r="B11" s="37" t="s">
        <v>198</v>
      </c>
      <c r="C11" s="37">
        <v>58</v>
      </c>
      <c r="D11" s="37">
        <v>49</v>
      </c>
      <c r="E11" s="37">
        <v>47</v>
      </c>
      <c r="F11" s="41">
        <f t="shared" si="0"/>
        <v>154</v>
      </c>
      <c r="G11" s="4">
        <f t="shared" si="1"/>
        <v>1</v>
      </c>
      <c r="H11">
        <f t="shared" si="2"/>
        <v>1</v>
      </c>
    </row>
  </sheetData>
  <autoFilter ref="B3:B9" xr:uid="{EB1FD169-E7B5-4D04-A2D7-A19A6369102B}">
    <sortState xmlns:xlrd2="http://schemas.microsoft.com/office/spreadsheetml/2017/richdata2" ref="A4:H11">
      <sortCondition descending="1" ref="B3:B9"/>
    </sortState>
  </autoFilter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4">
        <v>20</v>
      </c>
      <c r="B1" s="1" t="s">
        <v>206</v>
      </c>
    </row>
    <row r="2" spans="1:5" x14ac:dyDescent="0.3">
      <c r="A2" s="35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0" t="s">
        <v>198</v>
      </c>
      <c r="C4" s="37">
        <v>154</v>
      </c>
      <c r="E4">
        <f>COUNT(C4:C11)</f>
        <v>6</v>
      </c>
    </row>
    <row r="5" spans="1:5" x14ac:dyDescent="0.3">
      <c r="B5" s="50" t="s">
        <v>199</v>
      </c>
      <c r="C5" s="37">
        <v>174</v>
      </c>
    </row>
    <row r="6" spans="1:5" x14ac:dyDescent="0.3">
      <c r="B6" s="50" t="s">
        <v>200</v>
      </c>
      <c r="C6" s="37" t="s">
        <v>207</v>
      </c>
      <c r="E6">
        <f>COUNT(C4:C11)</f>
        <v>6</v>
      </c>
    </row>
    <row r="7" spans="1:5" x14ac:dyDescent="0.3">
      <c r="B7" s="50" t="s">
        <v>201</v>
      </c>
      <c r="C7" s="37">
        <v>177</v>
      </c>
      <c r="E7">
        <f>COUNTA(B4:C11)</f>
        <v>16</v>
      </c>
    </row>
    <row r="8" spans="1:5" x14ac:dyDescent="0.3">
      <c r="B8" s="50" t="s">
        <v>202</v>
      </c>
      <c r="C8" s="37" t="s">
        <v>207</v>
      </c>
      <c r="E8">
        <f>COUNTA(C4:C11)</f>
        <v>8</v>
      </c>
    </row>
    <row r="9" spans="1:5" x14ac:dyDescent="0.3">
      <c r="B9" s="50" t="s">
        <v>203</v>
      </c>
      <c r="C9" s="37">
        <v>209</v>
      </c>
      <c r="E9">
        <f>COUNTBLANK(C4:C12)</f>
        <v>1</v>
      </c>
    </row>
    <row r="10" spans="1:5" x14ac:dyDescent="0.3">
      <c r="B10" s="50" t="s">
        <v>204</v>
      </c>
      <c r="C10" s="37">
        <v>225</v>
      </c>
    </row>
    <row r="11" spans="1:5" x14ac:dyDescent="0.3">
      <c r="B11" s="50" t="s">
        <v>205</v>
      </c>
      <c r="C11" s="37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4">
        <v>21</v>
      </c>
      <c r="B1" s="1" t="s">
        <v>208</v>
      </c>
    </row>
    <row r="2" spans="1:4" x14ac:dyDescent="0.3">
      <c r="A2" s="35" t="s">
        <v>2</v>
      </c>
    </row>
    <row r="3" spans="1:4" x14ac:dyDescent="0.3">
      <c r="B3" s="40" t="s">
        <v>209</v>
      </c>
    </row>
    <row r="4" spans="1:4" x14ac:dyDescent="0.3">
      <c r="B4" s="37">
        <v>154</v>
      </c>
      <c r="D4">
        <f>COUNTA(B4:B11)</f>
        <v>6</v>
      </c>
    </row>
    <row r="5" spans="1:4" x14ac:dyDescent="0.3">
      <c r="B5" s="37">
        <v>174</v>
      </c>
      <c r="D5">
        <f>COUNTA(B4:B11)</f>
        <v>6</v>
      </c>
    </row>
    <row r="6" spans="1:4" x14ac:dyDescent="0.3">
      <c r="B6" s="37" t="s">
        <v>210</v>
      </c>
    </row>
    <row r="7" spans="1:4" x14ac:dyDescent="0.3">
      <c r="B7" s="37">
        <v>177</v>
      </c>
    </row>
    <row r="8" spans="1:4" x14ac:dyDescent="0.3">
      <c r="B8" s="37" t="e">
        <v>#N/A</v>
      </c>
    </row>
    <row r="9" spans="1:4" x14ac:dyDescent="0.3">
      <c r="B9" s="37"/>
    </row>
    <row r="10" spans="1:4" x14ac:dyDescent="0.3">
      <c r="B10" s="37">
        <v>225</v>
      </c>
    </row>
    <row r="11" spans="1:4" x14ac:dyDescent="0.3">
      <c r="B11" s="37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H21" sqref="H21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4">
        <v>22</v>
      </c>
      <c r="B1" s="1" t="s">
        <v>211</v>
      </c>
    </row>
    <row r="2" spans="1:7" x14ac:dyDescent="0.3">
      <c r="A2" s="35" t="s">
        <v>2</v>
      </c>
    </row>
    <row r="3" spans="1:7" x14ac:dyDescent="0.3">
      <c r="B3" s="3" t="s">
        <v>192</v>
      </c>
      <c r="C3" s="40" t="s">
        <v>196</v>
      </c>
      <c r="E3" t="s">
        <v>212</v>
      </c>
    </row>
    <row r="4" spans="1:7" x14ac:dyDescent="0.3">
      <c r="B4" s="50" t="s">
        <v>198</v>
      </c>
      <c r="C4" s="37">
        <v>154</v>
      </c>
      <c r="E4">
        <f>COUNTBLANK(C4:C11)</f>
        <v>2</v>
      </c>
    </row>
    <row r="5" spans="1:7" x14ac:dyDescent="0.3">
      <c r="B5" s="50" t="s">
        <v>199</v>
      </c>
      <c r="C5" s="37">
        <v>174</v>
      </c>
      <c r="E5">
        <f>COUNTBLANK(C4:C11)</f>
        <v>2</v>
      </c>
      <c r="G5">
        <v>154</v>
      </c>
    </row>
    <row r="6" spans="1:7" x14ac:dyDescent="0.3">
      <c r="B6" s="50" t="s">
        <v>200</v>
      </c>
      <c r="C6" s="37"/>
      <c r="G6">
        <v>174</v>
      </c>
    </row>
    <row r="7" spans="1:7" x14ac:dyDescent="0.3">
      <c r="B7" s="50" t="s">
        <v>201</v>
      </c>
      <c r="C7" s="37">
        <v>177</v>
      </c>
      <c r="G7">
        <v>161</v>
      </c>
    </row>
    <row r="8" spans="1:7" x14ac:dyDescent="0.3">
      <c r="B8" s="50" t="s">
        <v>202</v>
      </c>
      <c r="C8" s="37"/>
      <c r="G8">
        <v>177</v>
      </c>
    </row>
    <row r="9" spans="1:7" x14ac:dyDescent="0.3">
      <c r="B9" s="50" t="s">
        <v>203</v>
      </c>
      <c r="C9" s="37">
        <v>209</v>
      </c>
      <c r="G9">
        <v>184</v>
      </c>
    </row>
    <row r="10" spans="1:7" x14ac:dyDescent="0.3">
      <c r="B10" s="50" t="s">
        <v>204</v>
      </c>
      <c r="C10" s="37">
        <v>225</v>
      </c>
      <c r="G10">
        <v>209</v>
      </c>
    </row>
    <row r="11" spans="1:7" x14ac:dyDescent="0.3">
      <c r="B11" s="50" t="s">
        <v>205</v>
      </c>
      <c r="C11" s="37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G18" sqref="G18:G19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4">
        <v>23</v>
      </c>
      <c r="B1" s="1" t="s">
        <v>213</v>
      </c>
    </row>
    <row r="2" spans="1:10" x14ac:dyDescent="0.3">
      <c r="A2" s="35" t="s">
        <v>2</v>
      </c>
    </row>
    <row r="3" spans="1:10" x14ac:dyDescent="0.3">
      <c r="B3" s="38" t="s">
        <v>83</v>
      </c>
      <c r="C3" s="38" t="s">
        <v>84</v>
      </c>
      <c r="D3" s="38" t="s">
        <v>96</v>
      </c>
      <c r="F3" s="40" t="s">
        <v>83</v>
      </c>
      <c r="G3" s="3" t="s">
        <v>214</v>
      </c>
      <c r="H3" s="36"/>
      <c r="I3" s="36"/>
      <c r="J3" s="36"/>
    </row>
    <row r="4" spans="1:10" x14ac:dyDescent="0.3">
      <c r="B4" s="37" t="s">
        <v>215</v>
      </c>
      <c r="C4" s="37" t="s">
        <v>90</v>
      </c>
      <c r="D4" s="37">
        <v>19500</v>
      </c>
      <c r="F4" s="37" t="s">
        <v>216</v>
      </c>
      <c r="G4" s="41">
        <f>COUNTIF(B4:B13,F4)</f>
        <v>2</v>
      </c>
    </row>
    <row r="5" spans="1:10" x14ac:dyDescent="0.3">
      <c r="B5" s="37" t="s">
        <v>217</v>
      </c>
      <c r="C5" s="37" t="s">
        <v>92</v>
      </c>
      <c r="D5" s="37">
        <v>6200</v>
      </c>
    </row>
    <row r="6" spans="1:10" x14ac:dyDescent="0.3">
      <c r="B6" s="37" t="s">
        <v>218</v>
      </c>
      <c r="C6" s="37" t="s">
        <v>94</v>
      </c>
      <c r="D6" s="37">
        <v>31500</v>
      </c>
    </row>
    <row r="7" spans="1:10" x14ac:dyDescent="0.3">
      <c r="B7" s="37" t="s">
        <v>219</v>
      </c>
      <c r="C7" s="37" t="s">
        <v>90</v>
      </c>
      <c r="D7" s="37">
        <v>28500</v>
      </c>
      <c r="F7" s="3" t="s">
        <v>84</v>
      </c>
      <c r="G7" s="3" t="s">
        <v>214</v>
      </c>
    </row>
    <row r="8" spans="1:10" x14ac:dyDescent="0.3">
      <c r="B8" s="37" t="s">
        <v>220</v>
      </c>
      <c r="C8" s="37" t="s">
        <v>92</v>
      </c>
      <c r="D8" s="37">
        <v>9400</v>
      </c>
      <c r="F8" s="4" t="s">
        <v>221</v>
      </c>
      <c r="G8" s="4">
        <f>COUNTIF(C4:C13,F8)</f>
        <v>4</v>
      </c>
    </row>
    <row r="9" spans="1:10" x14ac:dyDescent="0.3">
      <c r="B9" s="37" t="s">
        <v>222</v>
      </c>
      <c r="C9" s="37" t="s">
        <v>94</v>
      </c>
      <c r="D9" s="37">
        <v>7200</v>
      </c>
    </row>
    <row r="10" spans="1:10" x14ac:dyDescent="0.3">
      <c r="B10" s="37" t="s">
        <v>223</v>
      </c>
      <c r="C10" s="37" t="s">
        <v>90</v>
      </c>
      <c r="D10" s="37">
        <v>27500</v>
      </c>
    </row>
    <row r="11" spans="1:10" x14ac:dyDescent="0.3">
      <c r="B11" s="37" t="s">
        <v>224</v>
      </c>
      <c r="C11" s="37" t="s">
        <v>92</v>
      </c>
      <c r="D11" s="37">
        <v>6400</v>
      </c>
    </row>
    <row r="12" spans="1:10" x14ac:dyDescent="0.3">
      <c r="B12" s="37" t="s">
        <v>225</v>
      </c>
      <c r="C12" s="37" t="s">
        <v>94</v>
      </c>
      <c r="D12" s="37">
        <v>5900</v>
      </c>
    </row>
    <row r="13" spans="1:10" x14ac:dyDescent="0.3">
      <c r="B13" s="37" t="s">
        <v>219</v>
      </c>
      <c r="C13" s="37" t="s">
        <v>90</v>
      </c>
      <c r="D13" s="37">
        <v>25500</v>
      </c>
    </row>
    <row r="15" spans="1:10" x14ac:dyDescent="0.3">
      <c r="A15" s="35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6"/>
      <c r="I17" s="36"/>
    </row>
    <row r="18" spans="2:9" x14ac:dyDescent="0.3">
      <c r="B18" s="37" t="s">
        <v>226</v>
      </c>
      <c r="C18" s="37" t="s">
        <v>90</v>
      </c>
      <c r="D18" s="37">
        <v>34000</v>
      </c>
      <c r="F18" s="4" t="s">
        <v>226</v>
      </c>
      <c r="G18" s="4">
        <f>COUNTIF(B18:B27,F18)</f>
        <v>1</v>
      </c>
    </row>
    <row r="19" spans="2:9" x14ac:dyDescent="0.3">
      <c r="B19" s="37" t="s">
        <v>227</v>
      </c>
      <c r="C19" s="37" t="s">
        <v>92</v>
      </c>
      <c r="D19" s="37">
        <v>5000</v>
      </c>
      <c r="F19" s="37" t="s">
        <v>228</v>
      </c>
      <c r="G19" s="4">
        <f>COUNTIF(B19:B28,F19)</f>
        <v>3</v>
      </c>
    </row>
    <row r="20" spans="2:9" x14ac:dyDescent="0.3">
      <c r="B20" s="37" t="s">
        <v>228</v>
      </c>
      <c r="C20" s="37" t="s">
        <v>94</v>
      </c>
      <c r="D20" s="37">
        <v>76000</v>
      </c>
    </row>
    <row r="21" spans="2:9" x14ac:dyDescent="0.3">
      <c r="B21" s="37" t="s">
        <v>229</v>
      </c>
      <c r="C21" s="37" t="s">
        <v>90</v>
      </c>
      <c r="D21" s="37">
        <v>45000</v>
      </c>
    </row>
    <row r="22" spans="2:9" x14ac:dyDescent="0.3">
      <c r="B22" s="37" t="s">
        <v>230</v>
      </c>
      <c r="C22" s="37" t="s">
        <v>92</v>
      </c>
      <c r="D22" s="37">
        <v>8700</v>
      </c>
    </row>
    <row r="23" spans="2:9" x14ac:dyDescent="0.3">
      <c r="B23" s="37" t="s">
        <v>228</v>
      </c>
      <c r="C23" s="37" t="s">
        <v>94</v>
      </c>
      <c r="D23" s="37">
        <v>5600</v>
      </c>
    </row>
    <row r="24" spans="2:9" x14ac:dyDescent="0.3">
      <c r="B24" s="37" t="s">
        <v>231</v>
      </c>
      <c r="C24" s="37" t="s">
        <v>90</v>
      </c>
      <c r="D24" s="37">
        <v>45000</v>
      </c>
    </row>
    <row r="25" spans="2:9" x14ac:dyDescent="0.3">
      <c r="B25" s="37" t="s">
        <v>232</v>
      </c>
      <c r="C25" s="37" t="s">
        <v>92</v>
      </c>
      <c r="D25" s="37">
        <v>5600</v>
      </c>
    </row>
    <row r="26" spans="2:9" x14ac:dyDescent="0.3">
      <c r="B26" s="37" t="s">
        <v>228</v>
      </c>
      <c r="C26" s="37" t="s">
        <v>94</v>
      </c>
      <c r="D26" s="37">
        <v>5600</v>
      </c>
    </row>
    <row r="27" spans="2:9" x14ac:dyDescent="0.3">
      <c r="B27" s="37" t="s">
        <v>233</v>
      </c>
      <c r="C27" s="37" t="s">
        <v>90</v>
      </c>
      <c r="D27" s="37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H18" sqref="H18: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4">
        <v>24</v>
      </c>
      <c r="B1" s="1" t="s">
        <v>234</v>
      </c>
    </row>
    <row r="2" spans="1:11" x14ac:dyDescent="0.3">
      <c r="A2" s="35" t="s">
        <v>2</v>
      </c>
    </row>
    <row r="3" spans="1:11" x14ac:dyDescent="0.3">
      <c r="B3" s="38" t="s">
        <v>83</v>
      </c>
      <c r="C3" s="38" t="s">
        <v>84</v>
      </c>
      <c r="D3" s="38" t="s">
        <v>96</v>
      </c>
      <c r="F3" s="3" t="s">
        <v>83</v>
      </c>
      <c r="G3" s="3" t="s">
        <v>84</v>
      </c>
      <c r="H3" s="3" t="s">
        <v>214</v>
      </c>
      <c r="I3" s="36"/>
      <c r="J3" s="36"/>
      <c r="K3" s="36"/>
    </row>
    <row r="4" spans="1:11" x14ac:dyDescent="0.3">
      <c r="B4" s="37" t="s">
        <v>235</v>
      </c>
      <c r="C4" s="37" t="s">
        <v>90</v>
      </c>
      <c r="D4" s="37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7" t="s">
        <v>237</v>
      </c>
      <c r="C5" s="37" t="s">
        <v>92</v>
      </c>
      <c r="D5" s="37">
        <v>6200</v>
      </c>
    </row>
    <row r="6" spans="1:11" x14ac:dyDescent="0.3">
      <c r="B6" s="37" t="s">
        <v>238</v>
      </c>
      <c r="C6" s="37" t="s">
        <v>94</v>
      </c>
      <c r="D6" s="37">
        <v>31500</v>
      </c>
    </row>
    <row r="7" spans="1:11" x14ac:dyDescent="0.3">
      <c r="B7" s="37" t="s">
        <v>235</v>
      </c>
      <c r="C7" s="37" t="s">
        <v>90</v>
      </c>
      <c r="D7" s="37">
        <v>28500</v>
      </c>
    </row>
    <row r="8" spans="1:11" x14ac:dyDescent="0.3">
      <c r="B8" s="37" t="s">
        <v>237</v>
      </c>
      <c r="C8" s="37" t="s">
        <v>92</v>
      </c>
      <c r="D8" s="37">
        <v>9400</v>
      </c>
    </row>
    <row r="9" spans="1:11" x14ac:dyDescent="0.3">
      <c r="B9" s="37" t="s">
        <v>238</v>
      </c>
      <c r="C9" s="37" t="s">
        <v>94</v>
      </c>
      <c r="D9" s="37">
        <v>7200</v>
      </c>
    </row>
    <row r="10" spans="1:11" x14ac:dyDescent="0.3">
      <c r="B10" s="37" t="s">
        <v>235</v>
      </c>
      <c r="C10" s="37" t="s">
        <v>90</v>
      </c>
      <c r="D10" s="37">
        <v>27500</v>
      </c>
    </row>
    <row r="11" spans="1:11" x14ac:dyDescent="0.3">
      <c r="B11" s="37" t="s">
        <v>237</v>
      </c>
      <c r="C11" s="37" t="s">
        <v>92</v>
      </c>
      <c r="D11" s="37">
        <v>6400</v>
      </c>
    </row>
    <row r="12" spans="1:11" x14ac:dyDescent="0.3">
      <c r="B12" s="37" t="s">
        <v>239</v>
      </c>
      <c r="C12" s="37" t="s">
        <v>94</v>
      </c>
      <c r="D12" s="37">
        <v>5900</v>
      </c>
    </row>
    <row r="13" spans="1:11" x14ac:dyDescent="0.3">
      <c r="B13" s="37" t="s">
        <v>235</v>
      </c>
      <c r="C13" s="37" t="s">
        <v>90</v>
      </c>
      <c r="D13" s="37">
        <v>25500</v>
      </c>
    </row>
    <row r="17" spans="2:9" x14ac:dyDescent="0.3">
      <c r="B17" s="38" t="s">
        <v>83</v>
      </c>
      <c r="C17" s="38" t="s">
        <v>84</v>
      </c>
      <c r="D17" s="38" t="s">
        <v>96</v>
      </c>
      <c r="F17" s="3" t="s">
        <v>83</v>
      </c>
      <c r="G17" s="3" t="s">
        <v>84</v>
      </c>
      <c r="H17" s="3" t="s">
        <v>214</v>
      </c>
      <c r="I17" s="36"/>
    </row>
    <row r="18" spans="2:9" x14ac:dyDescent="0.3">
      <c r="B18" s="37" t="s">
        <v>240</v>
      </c>
      <c r="C18" s="37" t="s">
        <v>90</v>
      </c>
      <c r="D18" s="37">
        <v>34000</v>
      </c>
      <c r="F18" s="37" t="s">
        <v>156</v>
      </c>
      <c r="G18" s="37" t="s">
        <v>90</v>
      </c>
      <c r="H18" s="4">
        <f>COUNTIFS(B18:B27,F18,C18:C27,G18)</f>
        <v>2</v>
      </c>
    </row>
    <row r="19" spans="2:9" x14ac:dyDescent="0.3">
      <c r="B19" s="37" t="s">
        <v>237</v>
      </c>
      <c r="C19" s="37" t="s">
        <v>92</v>
      </c>
      <c r="D19" s="37">
        <v>5000</v>
      </c>
      <c r="F19" s="37" t="s">
        <v>239</v>
      </c>
      <c r="G19" s="37" t="s">
        <v>92</v>
      </c>
      <c r="H19" s="4">
        <f>COUNTIFS(B19:B28,F19,C19:C28,G19)</f>
        <v>1</v>
      </c>
    </row>
    <row r="20" spans="2:9" x14ac:dyDescent="0.3">
      <c r="B20" s="37" t="s">
        <v>155</v>
      </c>
      <c r="C20" s="37" t="s">
        <v>94</v>
      </c>
      <c r="D20" s="37">
        <v>76000</v>
      </c>
    </row>
    <row r="21" spans="2:9" x14ac:dyDescent="0.3">
      <c r="B21" s="37" t="s">
        <v>156</v>
      </c>
      <c r="C21" s="37" t="s">
        <v>90</v>
      </c>
      <c r="D21" s="37">
        <v>45000</v>
      </c>
    </row>
    <row r="22" spans="2:9" x14ac:dyDescent="0.3">
      <c r="B22" s="37" t="s">
        <v>239</v>
      </c>
      <c r="C22" s="37" t="s">
        <v>92</v>
      </c>
      <c r="D22" s="37">
        <v>8700</v>
      </c>
    </row>
    <row r="23" spans="2:9" x14ac:dyDescent="0.3">
      <c r="B23" s="37" t="s">
        <v>155</v>
      </c>
      <c r="C23" s="37" t="s">
        <v>94</v>
      </c>
      <c r="D23" s="37">
        <v>5600</v>
      </c>
    </row>
    <row r="24" spans="2:9" x14ac:dyDescent="0.3">
      <c r="B24" s="37" t="s">
        <v>156</v>
      </c>
      <c r="C24" s="37" t="s">
        <v>90</v>
      </c>
      <c r="D24" s="37">
        <v>45000</v>
      </c>
    </row>
    <row r="25" spans="2:9" x14ac:dyDescent="0.3">
      <c r="B25" s="37" t="s">
        <v>241</v>
      </c>
      <c r="C25" s="37" t="s">
        <v>92</v>
      </c>
      <c r="D25" s="37">
        <v>5600</v>
      </c>
    </row>
    <row r="26" spans="2:9" x14ac:dyDescent="0.3">
      <c r="B26" s="37" t="s">
        <v>242</v>
      </c>
      <c r="C26" s="37" t="s">
        <v>94</v>
      </c>
      <c r="D26" s="37">
        <v>5600</v>
      </c>
    </row>
    <row r="27" spans="2:9" x14ac:dyDescent="0.3">
      <c r="B27" s="37" t="s">
        <v>240</v>
      </c>
      <c r="C27" s="37" t="s">
        <v>90</v>
      </c>
      <c r="D27" s="37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4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4">
        <v>25</v>
      </c>
      <c r="B1" s="1" t="s">
        <v>243</v>
      </c>
    </row>
    <row r="2" spans="1:9" x14ac:dyDescent="0.3">
      <c r="A2" s="35" t="s">
        <v>2</v>
      </c>
    </row>
    <row r="3" spans="1:9" x14ac:dyDescent="0.3">
      <c r="B3" s="135" t="s">
        <v>244</v>
      </c>
      <c r="C3" s="22">
        <f>SUBTOTAL(9,D6:D14)</f>
        <v>41</v>
      </c>
      <c r="E3" s="3" t="s">
        <v>245</v>
      </c>
      <c r="F3" s="22">
        <f>SUBTOTAL(9,E6:E14)</f>
        <v>1475</v>
      </c>
      <c r="H3" s="3" t="s">
        <v>246</v>
      </c>
      <c r="I3" s="22">
        <f>SUBTOTAL(2,F6:F14)</f>
        <v>9</v>
      </c>
    </row>
    <row r="5" spans="1:9" x14ac:dyDescent="0.3">
      <c r="B5" s="51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7" t="s">
        <v>89</v>
      </c>
      <c r="C6" s="41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7" t="s">
        <v>91</v>
      </c>
      <c r="C7" s="41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49" t="s">
        <v>93</v>
      </c>
      <c r="C8" s="41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7" t="s">
        <v>89</v>
      </c>
      <c r="C9" s="41" t="s">
        <v>90</v>
      </c>
      <c r="D9" s="4">
        <v>6</v>
      </c>
      <c r="E9" s="4">
        <v>130</v>
      </c>
      <c r="F9" s="4">
        <f t="shared" si="0"/>
        <v>780</v>
      </c>
    </row>
    <row r="10" spans="1:9" ht="0.75" customHeight="1" x14ac:dyDescent="0.3">
      <c r="B10" s="37" t="s">
        <v>91</v>
      </c>
      <c r="C10" s="41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49" t="s">
        <v>93</v>
      </c>
      <c r="C11" s="41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7" t="s">
        <v>89</v>
      </c>
      <c r="C12" s="41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7" t="s">
        <v>91</v>
      </c>
      <c r="C13" s="41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7" t="s">
        <v>113</v>
      </c>
      <c r="C14" s="41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4">
        <v>26</v>
      </c>
      <c r="B1" s="1" t="s">
        <v>247</v>
      </c>
    </row>
    <row r="2" spans="1:7" x14ac:dyDescent="0.3">
      <c r="A2" s="35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0" t="s">
        <v>205</v>
      </c>
      <c r="C4" s="4">
        <v>76</v>
      </c>
      <c r="D4" s="4">
        <v>95</v>
      </c>
      <c r="E4" s="4">
        <v>61</v>
      </c>
      <c r="F4" s="4">
        <f>SUM(C4:E4)</f>
        <v>232</v>
      </c>
      <c r="G4" s="23">
        <f>F4/300</f>
        <v>0.77333333333333332</v>
      </c>
    </row>
    <row r="5" spans="1:7" x14ac:dyDescent="0.3">
      <c r="B5" s="50" t="s">
        <v>201</v>
      </c>
      <c r="C5" s="4">
        <v>86</v>
      </c>
      <c r="D5" s="4">
        <v>64</v>
      </c>
      <c r="E5" s="4">
        <v>38</v>
      </c>
      <c r="F5" s="4">
        <f t="shared" ref="F5:F11" si="0">SUM(C5:E5)</f>
        <v>188</v>
      </c>
      <c r="G5" s="23">
        <f t="shared" ref="G5:G11" si="1">F5/300</f>
        <v>0.62666666666666671</v>
      </c>
    </row>
    <row r="6" spans="1:7" x14ac:dyDescent="0.3">
      <c r="B6" s="50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0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0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0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0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0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C14/200</f>
        <v>0.7</v>
      </c>
    </row>
    <row r="17" spans="2:7" x14ac:dyDescent="0.3">
      <c r="B17" s="38" t="s">
        <v>251</v>
      </c>
      <c r="C17" s="38" t="s">
        <v>252</v>
      </c>
      <c r="D17" s="53" t="s">
        <v>253</v>
      </c>
      <c r="E17" s="52" t="s">
        <v>254</v>
      </c>
      <c r="F17" s="47"/>
      <c r="G17" s="36"/>
    </row>
    <row r="18" spans="2:7" x14ac:dyDescent="0.3">
      <c r="B18" s="49" t="s">
        <v>255</v>
      </c>
      <c r="C18" s="37">
        <v>10000</v>
      </c>
      <c r="D18" s="37">
        <f>C18*5%</f>
        <v>500</v>
      </c>
      <c r="E18" s="54">
        <f>C18*1.1</f>
        <v>11000</v>
      </c>
      <c r="F18" s="48"/>
    </row>
    <row r="19" spans="2:7" x14ac:dyDescent="0.3">
      <c r="B19" s="49" t="s">
        <v>256</v>
      </c>
      <c r="C19" s="37">
        <v>11500</v>
      </c>
      <c r="D19" s="37">
        <f t="shared" ref="D19:D25" si="2">C19*5%</f>
        <v>575</v>
      </c>
      <c r="E19" s="54">
        <f>C19*1.1</f>
        <v>12650.000000000002</v>
      </c>
      <c r="F19" s="48"/>
    </row>
    <row r="20" spans="2:7" x14ac:dyDescent="0.3">
      <c r="B20" s="49" t="s">
        <v>257</v>
      </c>
      <c r="C20" s="37">
        <v>15800</v>
      </c>
      <c r="D20" s="37">
        <f t="shared" si="2"/>
        <v>790</v>
      </c>
      <c r="E20" s="54">
        <f t="shared" ref="E20:E25" si="3">C20*1.1</f>
        <v>17380</v>
      </c>
      <c r="F20" s="48"/>
    </row>
    <row r="21" spans="2:7" x14ac:dyDescent="0.3">
      <c r="B21" s="49" t="s">
        <v>258</v>
      </c>
      <c r="C21" s="37">
        <v>23000</v>
      </c>
      <c r="D21" s="37">
        <f t="shared" si="2"/>
        <v>1150</v>
      </c>
      <c r="E21" s="54">
        <f t="shared" si="3"/>
        <v>25300.000000000004</v>
      </c>
      <c r="F21" s="48"/>
    </row>
    <row r="22" spans="2:7" x14ac:dyDescent="0.3">
      <c r="B22" s="49" t="s">
        <v>259</v>
      </c>
      <c r="C22" s="37">
        <v>13500</v>
      </c>
      <c r="D22" s="37">
        <f t="shared" si="2"/>
        <v>675</v>
      </c>
      <c r="E22" s="54">
        <f t="shared" si="3"/>
        <v>14850.000000000002</v>
      </c>
      <c r="F22" s="48"/>
    </row>
    <row r="23" spans="2:7" x14ac:dyDescent="0.3">
      <c r="B23" s="49" t="s">
        <v>260</v>
      </c>
      <c r="C23" s="37">
        <v>12000</v>
      </c>
      <c r="D23" s="37">
        <f t="shared" si="2"/>
        <v>600</v>
      </c>
      <c r="E23" s="54">
        <f t="shared" si="3"/>
        <v>13200.000000000002</v>
      </c>
      <c r="F23" s="48"/>
    </row>
    <row r="24" spans="2:7" x14ac:dyDescent="0.3">
      <c r="B24" s="49" t="s">
        <v>261</v>
      </c>
      <c r="C24" s="37">
        <v>98000</v>
      </c>
      <c r="D24" s="37">
        <f t="shared" si="2"/>
        <v>4900</v>
      </c>
      <c r="E24" s="54">
        <f t="shared" si="3"/>
        <v>107800.00000000001</v>
      </c>
      <c r="F24" s="48"/>
    </row>
    <row r="25" spans="2:7" x14ac:dyDescent="0.3">
      <c r="B25" s="49" t="s">
        <v>262</v>
      </c>
      <c r="C25" s="37">
        <v>21000</v>
      </c>
      <c r="D25" s="37">
        <f t="shared" si="2"/>
        <v>1050</v>
      </c>
      <c r="E25" s="54">
        <f t="shared" si="3"/>
        <v>23100.000000000004</v>
      </c>
      <c r="F25" s="48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4">
        <v>27</v>
      </c>
      <c r="B1" s="1" t="s">
        <v>263</v>
      </c>
    </row>
    <row r="2" spans="1:7" x14ac:dyDescent="0.3">
      <c r="A2" s="35" t="s">
        <v>2</v>
      </c>
    </row>
    <row r="3" spans="1:7" x14ac:dyDescent="0.3">
      <c r="B3" s="3" t="s">
        <v>83</v>
      </c>
      <c r="C3" s="3" t="s">
        <v>127</v>
      </c>
      <c r="F3" s="36"/>
      <c r="G3" s="36"/>
    </row>
    <row r="4" spans="1:7" x14ac:dyDescent="0.3">
      <c r="B4" t="s">
        <v>264</v>
      </c>
      <c r="C4">
        <v>125</v>
      </c>
      <c r="D4" s="140">
        <f>C4/SUM($C$4:$C$12)</f>
        <v>0.12562814070351758</v>
      </c>
    </row>
    <row r="5" spans="1:7" x14ac:dyDescent="0.3">
      <c r="B5" t="s">
        <v>265</v>
      </c>
      <c r="C5">
        <v>200</v>
      </c>
      <c r="D5" s="140">
        <f t="shared" ref="D5:D12" si="0">C5/SUM($C$4:$C$12)</f>
        <v>0.20100502512562815</v>
      </c>
    </row>
    <row r="6" spans="1:7" x14ac:dyDescent="0.3">
      <c r="B6" t="s">
        <v>266</v>
      </c>
      <c r="C6">
        <v>60</v>
      </c>
      <c r="D6" s="140">
        <f t="shared" si="0"/>
        <v>6.030150753768844E-2</v>
      </c>
    </row>
    <row r="7" spans="1:7" x14ac:dyDescent="0.3">
      <c r="B7" t="s">
        <v>267</v>
      </c>
      <c r="C7">
        <v>40</v>
      </c>
      <c r="D7" s="140">
        <f t="shared" si="0"/>
        <v>4.0201005025125629E-2</v>
      </c>
    </row>
    <row r="8" spans="1:7" x14ac:dyDescent="0.3">
      <c r="B8" t="s">
        <v>268</v>
      </c>
      <c r="C8">
        <v>25</v>
      </c>
      <c r="D8" s="140">
        <f t="shared" si="0"/>
        <v>2.5125628140703519E-2</v>
      </c>
    </row>
    <row r="9" spans="1:7" x14ac:dyDescent="0.3">
      <c r="B9" t="s">
        <v>269</v>
      </c>
      <c r="C9">
        <v>35</v>
      </c>
      <c r="D9" s="140">
        <f t="shared" si="0"/>
        <v>3.5175879396984924E-2</v>
      </c>
    </row>
    <row r="10" spans="1:7" x14ac:dyDescent="0.3">
      <c r="B10" t="s">
        <v>270</v>
      </c>
      <c r="C10">
        <v>350</v>
      </c>
      <c r="D10" s="140">
        <f t="shared" si="0"/>
        <v>0.35175879396984927</v>
      </c>
    </row>
    <row r="11" spans="1:7" x14ac:dyDescent="0.3">
      <c r="B11" t="s">
        <v>271</v>
      </c>
      <c r="C11">
        <v>70</v>
      </c>
      <c r="D11" s="140">
        <f t="shared" si="0"/>
        <v>7.0351758793969849E-2</v>
      </c>
    </row>
    <row r="12" spans="1:7" x14ac:dyDescent="0.3">
      <c r="B12" t="s">
        <v>272</v>
      </c>
      <c r="C12">
        <v>90</v>
      </c>
      <c r="D12" s="140">
        <f t="shared" si="0"/>
        <v>9.0452261306532666E-2</v>
      </c>
    </row>
    <row r="13" spans="1:7" x14ac:dyDescent="0.3">
      <c r="D13" s="24"/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5"/>
  <sheetViews>
    <sheetView zoomScale="130" zoomScaleNormal="130" workbookViewId="0">
      <pane ySplit="1" topLeftCell="A2" activePane="bottomLeft" state="frozen"/>
      <selection pane="bottomLeft" activeCell="C6" sqref="C6:C13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4">
        <v>28</v>
      </c>
      <c r="B1" s="1" t="s">
        <v>273</v>
      </c>
    </row>
    <row r="2" spans="1:5" x14ac:dyDescent="0.3">
      <c r="A2" s="35" t="s">
        <v>2</v>
      </c>
    </row>
    <row r="3" spans="1:5" x14ac:dyDescent="0.3">
      <c r="B3" s="38" t="s">
        <v>83</v>
      </c>
      <c r="C3" s="38" t="s">
        <v>209</v>
      </c>
      <c r="E3" s="36"/>
    </row>
    <row r="4" spans="1:5" x14ac:dyDescent="0.3">
      <c r="B4" s="37" t="s">
        <v>274</v>
      </c>
      <c r="C4" s="37">
        <f ca="1">RAND()</f>
        <v>0.49564383989422589</v>
      </c>
      <c r="D4">
        <f ca="1">RAND()</f>
        <v>0.85853258803046983</v>
      </c>
    </row>
    <row r="5" spans="1:5" x14ac:dyDescent="0.3">
      <c r="B5" s="37" t="s">
        <v>215</v>
      </c>
      <c r="C5" s="37">
        <f t="shared" ref="C5:D15" ca="1" si="0">RAND()</f>
        <v>0.86495343758138976</v>
      </c>
      <c r="D5">
        <f ca="1">RAND()</f>
        <v>0.16480206090930749</v>
      </c>
    </row>
    <row r="6" spans="1:5" x14ac:dyDescent="0.3">
      <c r="B6" s="37" t="s">
        <v>275</v>
      </c>
      <c r="C6" s="37">
        <f t="shared" ca="1" si="0"/>
        <v>0.78385537824341467</v>
      </c>
      <c r="D6">
        <f t="shared" ca="1" si="0"/>
        <v>0.80565581737416903</v>
      </c>
    </row>
    <row r="7" spans="1:5" x14ac:dyDescent="0.3">
      <c r="B7" s="37" t="s">
        <v>276</v>
      </c>
      <c r="C7" s="37">
        <f t="shared" ca="1" si="0"/>
        <v>0.57763290590878535</v>
      </c>
      <c r="D7">
        <f t="shared" ca="1" si="0"/>
        <v>0.53077060904321138</v>
      </c>
    </row>
    <row r="8" spans="1:5" x14ac:dyDescent="0.3">
      <c r="B8" s="37" t="s">
        <v>277</v>
      </c>
      <c r="C8" s="37">
        <f t="shared" ca="1" si="0"/>
        <v>8.7971826481912374E-2</v>
      </c>
      <c r="D8">
        <f t="shared" ca="1" si="0"/>
        <v>0.97484657059456925</v>
      </c>
    </row>
    <row r="9" spans="1:5" x14ac:dyDescent="0.3">
      <c r="B9" s="37" t="s">
        <v>278</v>
      </c>
      <c r="C9" s="37">
        <f t="shared" ca="1" si="0"/>
        <v>0.88720235888806576</v>
      </c>
      <c r="D9">
        <f t="shared" ca="1" si="0"/>
        <v>1.8738013296346279E-2</v>
      </c>
    </row>
    <row r="10" spans="1:5" x14ac:dyDescent="0.3">
      <c r="B10" s="37" t="s">
        <v>222</v>
      </c>
      <c r="C10" s="37">
        <f t="shared" ca="1" si="0"/>
        <v>0.76234856663694173</v>
      </c>
      <c r="D10">
        <f t="shared" ca="1" si="0"/>
        <v>0.93432216239757149</v>
      </c>
    </row>
    <row r="11" spans="1:5" x14ac:dyDescent="0.3">
      <c r="B11" s="37" t="s">
        <v>224</v>
      </c>
      <c r="C11" s="37">
        <f t="shared" ca="1" si="0"/>
        <v>0.18513122581458086</v>
      </c>
      <c r="D11">
        <f t="shared" ca="1" si="0"/>
        <v>0.31358636096300663</v>
      </c>
    </row>
    <row r="12" spans="1:5" x14ac:dyDescent="0.3">
      <c r="B12" s="37" t="s">
        <v>279</v>
      </c>
      <c r="C12" s="37">
        <f t="shared" ca="1" si="0"/>
        <v>0.43589490407777454</v>
      </c>
      <c r="D12">
        <f t="shared" ca="1" si="0"/>
        <v>0.96261698323561262</v>
      </c>
    </row>
    <row r="13" spans="1:5" x14ac:dyDescent="0.3">
      <c r="C13" s="37">
        <f t="shared" ca="1" si="0"/>
        <v>0.32996058159515651</v>
      </c>
      <c r="D13">
        <f t="shared" ca="1" si="0"/>
        <v>8.1805159770827363E-2</v>
      </c>
    </row>
    <row r="14" spans="1:5" x14ac:dyDescent="0.3">
      <c r="D14">
        <f t="shared" ca="1" si="0"/>
        <v>0.89517191897751103</v>
      </c>
    </row>
    <row r="15" spans="1:5" x14ac:dyDescent="0.3">
      <c r="D15">
        <f t="shared" ca="1" si="0"/>
        <v>0.97222533503888409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86" zoomScaleNormal="86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4">
        <v>29</v>
      </c>
      <c r="B1" s="1" t="s">
        <v>280</v>
      </c>
    </row>
    <row r="2" spans="1:7" x14ac:dyDescent="0.3">
      <c r="A2" s="35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0" t="s">
        <v>205</v>
      </c>
      <c r="C4" s="4">
        <v>15</v>
      </c>
      <c r="D4" s="4">
        <v>5</v>
      </c>
      <c r="E4" s="4">
        <v>89</v>
      </c>
      <c r="F4" s="4">
        <f ca="1">RANDBETWEEN(40,100)</f>
        <v>44</v>
      </c>
      <c r="G4" s="141">
        <f ca="1">RANDBETWEEN(40,100)/100</f>
        <v>0.99</v>
      </c>
    </row>
    <row r="5" spans="1:7" x14ac:dyDescent="0.3">
      <c r="B5" s="50" t="s">
        <v>201</v>
      </c>
      <c r="C5" s="4">
        <v>16</v>
      </c>
      <c r="D5" s="4">
        <v>36</v>
      </c>
      <c r="E5" s="4">
        <v>13</v>
      </c>
      <c r="F5" s="4">
        <f t="shared" ref="F5:F11" ca="1" si="0">RANDBETWEEN(40,100)</f>
        <v>88</v>
      </c>
      <c r="G5" s="141">
        <f t="shared" ref="G5:G11" ca="1" si="1">RANDBETWEEN(40,100)/100</f>
        <v>0.81</v>
      </c>
    </row>
    <row r="6" spans="1:7" x14ac:dyDescent="0.3">
      <c r="B6" s="50" t="s">
        <v>204</v>
      </c>
      <c r="C6" s="4">
        <v>50</v>
      </c>
      <c r="D6" s="4">
        <v>53</v>
      </c>
      <c r="E6" s="4">
        <v>76</v>
      </c>
      <c r="F6" s="4">
        <f t="shared" ca="1" si="0"/>
        <v>100</v>
      </c>
      <c r="G6" s="141">
        <f t="shared" ca="1" si="1"/>
        <v>0.42</v>
      </c>
    </row>
    <row r="7" spans="1:7" x14ac:dyDescent="0.3">
      <c r="B7" s="50" t="s">
        <v>198</v>
      </c>
      <c r="C7" s="4">
        <v>20</v>
      </c>
      <c r="D7" s="4">
        <v>54</v>
      </c>
      <c r="E7" s="4">
        <v>19</v>
      </c>
      <c r="F7" s="4">
        <f t="shared" ca="1" si="0"/>
        <v>85</v>
      </c>
      <c r="G7" s="141">
        <f t="shared" ca="1" si="1"/>
        <v>0.99</v>
      </c>
    </row>
    <row r="8" spans="1:7" x14ac:dyDescent="0.3">
      <c r="B8" s="50" t="s">
        <v>200</v>
      </c>
      <c r="C8" s="4">
        <v>19</v>
      </c>
      <c r="D8" s="4">
        <v>54</v>
      </c>
      <c r="E8" s="4">
        <v>67</v>
      </c>
      <c r="F8" s="4">
        <f t="shared" ca="1" si="0"/>
        <v>100</v>
      </c>
      <c r="G8" s="141">
        <f t="shared" ca="1" si="1"/>
        <v>0.54</v>
      </c>
    </row>
    <row r="9" spans="1:7" x14ac:dyDescent="0.3">
      <c r="B9" s="50" t="s">
        <v>202</v>
      </c>
      <c r="C9" s="4">
        <v>81</v>
      </c>
      <c r="D9" s="4">
        <v>20</v>
      </c>
      <c r="E9" s="4">
        <v>28</v>
      </c>
      <c r="F9" s="4">
        <f t="shared" ca="1" si="0"/>
        <v>51</v>
      </c>
      <c r="G9" s="141">
        <f t="shared" ca="1" si="1"/>
        <v>0.55000000000000004</v>
      </c>
    </row>
    <row r="10" spans="1:7" x14ac:dyDescent="0.3">
      <c r="B10" s="50" t="s">
        <v>203</v>
      </c>
      <c r="C10" s="4">
        <v>86</v>
      </c>
      <c r="D10" s="4">
        <v>74</v>
      </c>
      <c r="E10" s="4">
        <v>9</v>
      </c>
      <c r="F10" s="4">
        <f t="shared" ca="1" si="0"/>
        <v>90</v>
      </c>
      <c r="G10" s="141">
        <f t="shared" ca="1" si="1"/>
        <v>0.5</v>
      </c>
    </row>
    <row r="11" spans="1:7" x14ac:dyDescent="0.3">
      <c r="B11" s="50" t="s">
        <v>199</v>
      </c>
      <c r="C11" s="4">
        <v>40</v>
      </c>
      <c r="D11" s="4">
        <v>10</v>
      </c>
      <c r="E11" s="4">
        <v>66</v>
      </c>
      <c r="F11" s="4">
        <f t="shared" ca="1" si="0"/>
        <v>55</v>
      </c>
      <c r="G11" s="141">
        <f t="shared" ca="1" si="1"/>
        <v>1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F12"/>
  <sheetViews>
    <sheetView zoomScale="101" zoomScaleNormal="130" workbookViewId="0">
      <pane ySplit="1" topLeftCell="A2" activePane="bottomLeft" state="frozen"/>
      <selection pane="bottomLeft" activeCell="F5" sqref="F5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6" s="2" customFormat="1" ht="32.65" customHeight="1" thickBot="1" x14ac:dyDescent="0.35">
      <c r="A1" s="34">
        <v>30</v>
      </c>
      <c r="B1" s="1" t="s">
        <v>281</v>
      </c>
    </row>
    <row r="2" spans="1:6" x14ac:dyDescent="0.3">
      <c r="A2" s="35" t="s">
        <v>2</v>
      </c>
    </row>
    <row r="3" spans="1:6" x14ac:dyDescent="0.3">
      <c r="B3" s="3" t="s">
        <v>282</v>
      </c>
    </row>
    <row r="4" spans="1:6" x14ac:dyDescent="0.3">
      <c r="B4" s="4">
        <v>-12000</v>
      </c>
      <c r="D4">
        <f>ABS(B4)</f>
        <v>12000</v>
      </c>
      <c r="E4">
        <f>ABS(-4000)</f>
        <v>4000</v>
      </c>
      <c r="F4" cm="1">
        <f t="array" ref="F4:F11">ABS(B4:B11)</f>
        <v>12000</v>
      </c>
    </row>
    <row r="5" spans="1:6" x14ac:dyDescent="0.3">
      <c r="B5" s="4">
        <v>5000</v>
      </c>
      <c r="D5">
        <f t="shared" ref="D5:D11" si="0">ABS(B5)</f>
        <v>5000</v>
      </c>
      <c r="E5">
        <f>ABS(B4)</f>
        <v>12000</v>
      </c>
      <c r="F5">
        <v>5000</v>
      </c>
    </row>
    <row r="6" spans="1:6" x14ac:dyDescent="0.3">
      <c r="B6" s="4">
        <v>10000</v>
      </c>
      <c r="D6">
        <f t="shared" si="0"/>
        <v>10000</v>
      </c>
      <c r="E6">
        <f>ABS(B6)</f>
        <v>10000</v>
      </c>
      <c r="F6">
        <v>10000</v>
      </c>
    </row>
    <row r="7" spans="1:6" x14ac:dyDescent="0.3">
      <c r="B7" s="4">
        <v>-5000</v>
      </c>
      <c r="D7">
        <f t="shared" si="0"/>
        <v>5000</v>
      </c>
      <c r="F7">
        <v>5000</v>
      </c>
    </row>
    <row r="8" spans="1:6" x14ac:dyDescent="0.3">
      <c r="B8" s="4">
        <v>-12000</v>
      </c>
      <c r="D8">
        <f t="shared" si="0"/>
        <v>12000</v>
      </c>
      <c r="F8">
        <v>12000</v>
      </c>
    </row>
    <row r="9" spans="1:6" x14ac:dyDescent="0.3">
      <c r="B9" s="4">
        <v>-2500</v>
      </c>
      <c r="D9">
        <f t="shared" si="0"/>
        <v>2500</v>
      </c>
      <c r="F9">
        <v>2500</v>
      </c>
    </row>
    <row r="10" spans="1:6" x14ac:dyDescent="0.3">
      <c r="B10" s="4">
        <v>1500</v>
      </c>
      <c r="D10">
        <f t="shared" si="0"/>
        <v>1500</v>
      </c>
      <c r="F10">
        <v>1500</v>
      </c>
    </row>
    <row r="11" spans="1:6" x14ac:dyDescent="0.3">
      <c r="B11" s="4">
        <v>-1350</v>
      </c>
      <c r="D11">
        <f t="shared" si="0"/>
        <v>1350</v>
      </c>
      <c r="F11">
        <v>1350</v>
      </c>
    </row>
    <row r="12" spans="1:6" x14ac:dyDescent="0.3">
      <c r="D12">
        <f>SUM(D4:D11)</f>
        <v>49350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98" zoomScaleNormal="130" workbookViewId="0">
      <pane ySplit="1" topLeftCell="A2" activePane="bottomLeft" state="frozen"/>
      <selection pane="bottomLeft" activeCell="K8" sqref="K8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4">
        <v>31</v>
      </c>
      <c r="B1" s="1" t="s">
        <v>283</v>
      </c>
    </row>
    <row r="2" spans="1:7" x14ac:dyDescent="0.3">
      <c r="A2" s="35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0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0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0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0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0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0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0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0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5"/>
  <sheetViews>
    <sheetView zoomScale="130" zoomScaleNormal="130" workbookViewId="0">
      <pane ySplit="1" topLeftCell="A12" activePane="bottomLeft" state="frozen"/>
      <selection pane="bottomLeft" activeCell="F10" sqref="F10"/>
    </sheetView>
  </sheetViews>
  <sheetFormatPr defaultRowHeight="18.75" x14ac:dyDescent="0.3"/>
  <cols>
    <col min="2" max="2" width="18.796875" customWidth="1"/>
    <col min="3" max="3" width="18.5" bestFit="1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4">
        <v>32</v>
      </c>
      <c r="B1" s="1" t="s">
        <v>284</v>
      </c>
    </row>
    <row r="2" spans="1:7" x14ac:dyDescent="0.3">
      <c r="A2" s="35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6">
        <v>1231231231231230</v>
      </c>
      <c r="C4" s="4" t="str">
        <f>TEXT(B4,"#### #### #### ####")</f>
        <v>1231 2312 3123 1230</v>
      </c>
      <c r="E4" s="25">
        <v>45352</v>
      </c>
      <c r="F4" s="4" t="str">
        <f>TEXT(E4,"dd-mm-yyyy")</f>
        <v>01-03-2024</v>
      </c>
      <c r="G4" s="4" t="str">
        <f>TEXT(E4,"ddd-dd-mmm-yyyy")</f>
        <v>Fri-01-Mar-2024</v>
      </c>
    </row>
    <row r="5" spans="1:7" x14ac:dyDescent="0.3">
      <c r="B5" s="26">
        <v>1231231231231230</v>
      </c>
      <c r="C5" s="4" t="str">
        <f t="shared" ref="C5:C7" si="0">TEXT(B5,"#### #### #### ####")</f>
        <v>1231 2312 3123 1230</v>
      </c>
      <c r="E5" s="25">
        <v>45383</v>
      </c>
      <c r="F5" s="4" t="str">
        <f>TEXT(E5,"dddd-mmmm-yyyy")</f>
        <v>Monday-April-2024</v>
      </c>
      <c r="G5" s="4" t="str">
        <f>TEXT(E5,"dddd-yyyy")</f>
        <v>Monday-2024</v>
      </c>
    </row>
    <row r="6" spans="1:7" x14ac:dyDescent="0.3">
      <c r="B6" s="26">
        <v>1231231231231230</v>
      </c>
      <c r="C6" s="4" t="str">
        <f t="shared" si="0"/>
        <v>1231 2312 3123 1230</v>
      </c>
      <c r="E6" s="25">
        <v>45444</v>
      </c>
      <c r="F6" s="4" t="str">
        <f>TEXT(E6,"dd-mmm-yyyy")</f>
        <v>01-Jun-2024</v>
      </c>
      <c r="G6" s="4" t="str">
        <f>TEXT(E6,"dddd-mmmm")</f>
        <v>Saturday-June</v>
      </c>
    </row>
    <row r="7" spans="1:7" x14ac:dyDescent="0.3">
      <c r="B7" s="26">
        <v>1231231231231230</v>
      </c>
      <c r="C7" s="4" t="str">
        <f t="shared" si="0"/>
        <v>1231 2312 3123 1230</v>
      </c>
      <c r="E7" s="25">
        <v>45352</v>
      </c>
      <c r="F7" s="4" t="str">
        <f>TEXT(E7,"ddd-mmm-yyy")</f>
        <v>Fri-Mar-2024</v>
      </c>
      <c r="G7" s="4" t="str">
        <f>TEXT(E7,"dddd-mmm")</f>
        <v>Friday-Mar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6">
        <v>500</v>
      </c>
      <c r="C10" s="4" t="str">
        <f>"price is "&amp;TEXT(B10,"$#")</f>
        <v>price is $500</v>
      </c>
      <c r="E10" s="25">
        <v>45352</v>
      </c>
      <c r="F10" s="4" t="str">
        <f>TEXT(E10,"mmmm - yyyy")</f>
        <v>March - 2024</v>
      </c>
    </row>
    <row r="11" spans="1:7" x14ac:dyDescent="0.3">
      <c r="B11" s="26">
        <v>200</v>
      </c>
      <c r="C11" s="4" t="str">
        <f>"price is "&amp;TEXT(B11,"$#")</f>
        <v>price is $200</v>
      </c>
      <c r="E11" s="25">
        <v>45383</v>
      </c>
      <c r="F11" s="4" t="str">
        <f>TEXT(E11,"mmmm - yyyy")</f>
        <v>April - 2024</v>
      </c>
    </row>
    <row r="12" spans="1:7" x14ac:dyDescent="0.3">
      <c r="B12" s="26">
        <v>800</v>
      </c>
      <c r="C12" s="4" t="str">
        <f>"price is "&amp;TEXT(B12,"$#")</f>
        <v>price is $800</v>
      </c>
      <c r="E12" s="25">
        <v>45444</v>
      </c>
      <c r="F12" s="4" t="str">
        <f>TEXT(E12,"mmmm - yyyy")</f>
        <v>June - 2024</v>
      </c>
    </row>
    <row r="13" spans="1:7" x14ac:dyDescent="0.3">
      <c r="B13" s="26">
        <v>40</v>
      </c>
      <c r="C13" s="4" t="str">
        <f>"price is "&amp;TEXT(B13,"$#")</f>
        <v>price is $40</v>
      </c>
      <c r="E13" s="25">
        <v>45352</v>
      </c>
      <c r="F13" s="4" t="str">
        <f>TEXT(E13,"mmmm - yyyy")</f>
        <v>March - 2024</v>
      </c>
    </row>
    <row r="14" spans="1:7" x14ac:dyDescent="0.3">
      <c r="C14" s="142" t="str">
        <f>"price is "&amp;TEXT(B10,"$#")</f>
        <v>price is $500</v>
      </c>
    </row>
    <row r="15" spans="1:7" x14ac:dyDescent="0.3">
      <c r="C15" s="142" t="str">
        <f>"Amount is "&amp;TEXT(B11,"$#")</f>
        <v>Amount is $200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3" activePane="bottomLeft" state="frozen"/>
      <selection pane="bottomLeft" activeCell="D4" sqref="D4:D12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4">
        <v>33</v>
      </c>
      <c r="B1" s="1" t="s">
        <v>287</v>
      </c>
    </row>
    <row r="2" spans="1:5" x14ac:dyDescent="0.3">
      <c r="A2" s="35" t="s">
        <v>2</v>
      </c>
    </row>
    <row r="3" spans="1:5" x14ac:dyDescent="0.3">
      <c r="B3" s="38" t="s">
        <v>83</v>
      </c>
      <c r="C3" s="38" t="s">
        <v>83</v>
      </c>
      <c r="E3" s="36"/>
    </row>
    <row r="4" spans="1:5" x14ac:dyDescent="0.3">
      <c r="B4" s="37" t="s">
        <v>288</v>
      </c>
      <c r="C4" s="37" t="str">
        <f>UPPER(B4)</f>
        <v>BREAD</v>
      </c>
      <c r="D4" t="str">
        <f>UPPER(B4)</f>
        <v>BREAD</v>
      </c>
    </row>
    <row r="5" spans="1:5" x14ac:dyDescent="0.3">
      <c r="B5" s="37" t="s">
        <v>135</v>
      </c>
      <c r="C5" s="37" t="str">
        <f t="shared" ref="C5:C12" si="0">UPPER(B5)</f>
        <v>CHIPS</v>
      </c>
      <c r="D5" t="str">
        <f t="shared" ref="D5:D12" si="1">UPPER(B5)</f>
        <v>CHIPS</v>
      </c>
    </row>
    <row r="6" spans="1:5" x14ac:dyDescent="0.3">
      <c r="B6" s="37" t="s">
        <v>289</v>
      </c>
      <c r="C6" s="37" t="str">
        <f t="shared" si="0"/>
        <v>JUICE</v>
      </c>
      <c r="D6" t="str">
        <f t="shared" si="1"/>
        <v>JUICE</v>
      </c>
    </row>
    <row r="7" spans="1:5" x14ac:dyDescent="0.3">
      <c r="B7" s="37" t="s">
        <v>290</v>
      </c>
      <c r="C7" s="37" t="str">
        <f t="shared" si="0"/>
        <v>APPLE</v>
      </c>
      <c r="D7" t="str">
        <f t="shared" si="1"/>
        <v>APPLE</v>
      </c>
    </row>
    <row r="8" spans="1:5" x14ac:dyDescent="0.3">
      <c r="B8" s="37" t="s">
        <v>291</v>
      </c>
      <c r="C8" s="37" t="str">
        <f t="shared" si="0"/>
        <v>CAKE</v>
      </c>
      <c r="D8" t="str">
        <f t="shared" si="1"/>
        <v>CAKE</v>
      </c>
    </row>
    <row r="9" spans="1:5" x14ac:dyDescent="0.3">
      <c r="B9" s="37" t="s">
        <v>292</v>
      </c>
      <c r="C9" s="37" t="str">
        <f t="shared" si="0"/>
        <v>RICE</v>
      </c>
      <c r="D9" t="str">
        <f t="shared" si="1"/>
        <v>RICE</v>
      </c>
    </row>
    <row r="10" spans="1:5" x14ac:dyDescent="0.3">
      <c r="B10" s="37" t="s">
        <v>293</v>
      </c>
      <c r="C10" s="37" t="str">
        <f t="shared" si="0"/>
        <v>JAM</v>
      </c>
      <c r="D10" t="str">
        <f t="shared" si="1"/>
        <v>JAM</v>
      </c>
    </row>
    <row r="11" spans="1:5" x14ac:dyDescent="0.3">
      <c r="B11" s="37" t="s">
        <v>294</v>
      </c>
      <c r="C11" s="37" t="str">
        <f t="shared" si="0"/>
        <v>NUTS</v>
      </c>
      <c r="D11" t="str">
        <f t="shared" si="1"/>
        <v>NUTS</v>
      </c>
    </row>
    <row r="12" spans="1:5" x14ac:dyDescent="0.3">
      <c r="B12" s="37" t="s">
        <v>295</v>
      </c>
      <c r="C12" s="37" t="str">
        <f t="shared" si="0"/>
        <v>MILK</v>
      </c>
      <c r="D12" t="str">
        <f t="shared" si="1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D12"/>
  <sheetViews>
    <sheetView zoomScale="130" zoomScaleNormal="130" workbookViewId="0">
      <pane ySplit="1" topLeftCell="A4" activePane="bottomLeft" state="frozen"/>
      <selection pane="bottomLeft" activeCell="D6" sqref="D6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4" s="2" customFormat="1" ht="32.65" customHeight="1" thickBot="1" x14ac:dyDescent="0.35">
      <c r="A1" s="34">
        <v>34</v>
      </c>
      <c r="B1" s="1" t="s">
        <v>296</v>
      </c>
    </row>
    <row r="2" spans="1:4" x14ac:dyDescent="0.3">
      <c r="A2" s="35" t="s">
        <v>2</v>
      </c>
    </row>
    <row r="3" spans="1:4" x14ac:dyDescent="0.3">
      <c r="B3" s="38" t="s">
        <v>83</v>
      </c>
      <c r="C3" s="3" t="s">
        <v>83</v>
      </c>
    </row>
    <row r="4" spans="1:4" x14ac:dyDescent="0.3">
      <c r="B4" s="37" t="s">
        <v>297</v>
      </c>
      <c r="C4" s="4" t="str">
        <f>LOWER(B4)</f>
        <v>milk</v>
      </c>
    </row>
    <row r="5" spans="1:4" x14ac:dyDescent="0.3">
      <c r="B5" s="37" t="s">
        <v>298</v>
      </c>
      <c r="C5" s="4" t="str">
        <f t="shared" ref="C5:C12" si="0">LOWER(B5)</f>
        <v>butter</v>
      </c>
      <c r="D5" t="str">
        <f>LOWER(B5)</f>
        <v>butter</v>
      </c>
    </row>
    <row r="6" spans="1:4" x14ac:dyDescent="0.3">
      <c r="B6" s="37" t="s">
        <v>299</v>
      </c>
      <c r="C6" s="4" t="str">
        <f t="shared" si="0"/>
        <v>cheese</v>
      </c>
      <c r="D6" t="str">
        <f t="shared" ref="D6:D12" si="1">LOWER(B6)</f>
        <v>cheese</v>
      </c>
    </row>
    <row r="7" spans="1:4" x14ac:dyDescent="0.3">
      <c r="B7" s="37" t="s">
        <v>300</v>
      </c>
      <c r="C7" s="4" t="str">
        <f t="shared" si="0"/>
        <v>curd</v>
      </c>
      <c r="D7" t="str">
        <f t="shared" si="1"/>
        <v>curd</v>
      </c>
    </row>
    <row r="8" spans="1:4" x14ac:dyDescent="0.3">
      <c r="B8" s="37" t="s">
        <v>301</v>
      </c>
      <c r="C8" s="4" t="str">
        <f t="shared" si="0"/>
        <v>ghee</v>
      </c>
      <c r="D8" t="str">
        <f t="shared" si="1"/>
        <v>ghee</v>
      </c>
    </row>
    <row r="9" spans="1:4" x14ac:dyDescent="0.3">
      <c r="B9" s="37" t="s">
        <v>302</v>
      </c>
      <c r="C9" s="4" t="str">
        <f t="shared" si="0"/>
        <v>cream</v>
      </c>
      <c r="D9" t="str">
        <f t="shared" si="1"/>
        <v>cream</v>
      </c>
    </row>
    <row r="10" spans="1:4" x14ac:dyDescent="0.3">
      <c r="B10" s="37" t="s">
        <v>303</v>
      </c>
      <c r="C10" s="4" t="str">
        <f t="shared" si="0"/>
        <v>paneer</v>
      </c>
      <c r="D10" t="str">
        <f t="shared" si="1"/>
        <v>paneer</v>
      </c>
    </row>
    <row r="11" spans="1:4" x14ac:dyDescent="0.3">
      <c r="B11" s="37" t="s">
        <v>304</v>
      </c>
      <c r="C11" s="4" t="str">
        <f t="shared" si="0"/>
        <v>lassi</v>
      </c>
      <c r="D11" t="str">
        <f t="shared" si="1"/>
        <v>lassi</v>
      </c>
    </row>
    <row r="12" spans="1:4" x14ac:dyDescent="0.3">
      <c r="B12" s="37" t="s">
        <v>305</v>
      </c>
      <c r="C12" s="4" t="str">
        <f t="shared" si="0"/>
        <v>buttermilk</v>
      </c>
      <c r="D12" t="str">
        <f t="shared" si="1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D12"/>
  <sheetViews>
    <sheetView zoomScale="130" zoomScaleNormal="130" workbookViewId="0">
      <pane ySplit="1" topLeftCell="A2" activePane="bottomLeft" state="frozen"/>
      <selection pane="bottomLeft" activeCell="D9" sqref="D9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4" s="2" customFormat="1" ht="32.65" customHeight="1" thickBot="1" x14ac:dyDescent="0.35">
      <c r="A1" s="34">
        <v>35</v>
      </c>
      <c r="B1" s="1" t="s">
        <v>306</v>
      </c>
    </row>
    <row r="2" spans="1:4" x14ac:dyDescent="0.3">
      <c r="A2" s="35" t="s">
        <v>2</v>
      </c>
    </row>
    <row r="3" spans="1:4" x14ac:dyDescent="0.3">
      <c r="B3" s="40" t="s">
        <v>83</v>
      </c>
      <c r="C3" s="40" t="s">
        <v>83</v>
      </c>
    </row>
    <row r="4" spans="1:4" x14ac:dyDescent="0.3">
      <c r="B4" s="37" t="s">
        <v>978</v>
      </c>
      <c r="C4" s="37" t="str">
        <f t="shared" ref="C4:C12" si="0">PROPER(B4)</f>
        <v>Wallet</v>
      </c>
      <c r="D4" t="str">
        <f>PROPER(B4)</f>
        <v>Wallet</v>
      </c>
    </row>
    <row r="5" spans="1:4" x14ac:dyDescent="0.3">
      <c r="B5" s="37" t="s">
        <v>307</v>
      </c>
      <c r="C5" s="37" t="str">
        <f t="shared" si="0"/>
        <v>Sunglasses</v>
      </c>
      <c r="D5" t="str">
        <f>PROPER(B5)</f>
        <v>Sunglasses</v>
      </c>
    </row>
    <row r="6" spans="1:4" x14ac:dyDescent="0.3">
      <c r="B6" s="37" t="s">
        <v>979</v>
      </c>
      <c r="C6" s="37" t="str">
        <f t="shared" si="0"/>
        <v>Watch</v>
      </c>
      <c r="D6" t="str">
        <f>PROPER(B6)</f>
        <v>Watch</v>
      </c>
    </row>
    <row r="7" spans="1:4" x14ac:dyDescent="0.3">
      <c r="B7" s="37" t="s">
        <v>308</v>
      </c>
      <c r="C7" s="37" t="str">
        <f t="shared" si="0"/>
        <v>Belt</v>
      </c>
      <c r="D7" t="str">
        <f t="shared" ref="D7:D12" si="1">PROPER(B7)</f>
        <v>Belt</v>
      </c>
    </row>
    <row r="8" spans="1:4" x14ac:dyDescent="0.3">
      <c r="B8" s="37" t="s">
        <v>309</v>
      </c>
      <c r="C8" s="37" t="str">
        <f t="shared" si="0"/>
        <v>Shoes</v>
      </c>
      <c r="D8" t="str">
        <f t="shared" si="1"/>
        <v>Shoes</v>
      </c>
    </row>
    <row r="9" spans="1:4" x14ac:dyDescent="0.3">
      <c r="B9" s="37" t="s">
        <v>310</v>
      </c>
      <c r="C9" s="37" t="str">
        <f t="shared" si="0"/>
        <v>Tie</v>
      </c>
      <c r="D9" t="str">
        <f t="shared" si="1"/>
        <v>Tie</v>
      </c>
    </row>
    <row r="10" spans="1:4" x14ac:dyDescent="0.3">
      <c r="B10" s="37" t="s">
        <v>311</v>
      </c>
      <c r="C10" s="37" t="str">
        <f t="shared" si="0"/>
        <v>Backpack</v>
      </c>
      <c r="D10" t="str">
        <f t="shared" si="1"/>
        <v>Backpack</v>
      </c>
    </row>
    <row r="11" spans="1:4" x14ac:dyDescent="0.3">
      <c r="B11" s="37" t="s">
        <v>312</v>
      </c>
      <c r="C11" s="37" t="str">
        <f t="shared" si="0"/>
        <v>Cap</v>
      </c>
      <c r="D11" t="str">
        <f t="shared" si="1"/>
        <v>Cap</v>
      </c>
    </row>
    <row r="12" spans="1:4" x14ac:dyDescent="0.3">
      <c r="B12" s="37" t="s">
        <v>313</v>
      </c>
      <c r="C12" s="37" t="str">
        <f t="shared" si="0"/>
        <v>Perfume</v>
      </c>
      <c r="D12" t="str">
        <f t="shared" si="1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E5" sqref="E5:E8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4">
        <v>36</v>
      </c>
      <c r="B1" s="1" t="s">
        <v>314</v>
      </c>
    </row>
    <row r="2" spans="1:5" x14ac:dyDescent="0.3">
      <c r="A2" s="35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CONCATENATE(B4," ",C4," ",D4)</f>
        <v>raj kumar singh</v>
      </c>
    </row>
    <row r="5" spans="1:5" x14ac:dyDescent="0.3">
      <c r="B5" s="4" t="s">
        <v>322</v>
      </c>
      <c r="C5" s="4"/>
      <c r="D5" s="4" t="s">
        <v>323</v>
      </c>
      <c r="E5" s="4" t="str">
        <f>CONCATENATE(B5,"_",D5)</f>
        <v>Monu_Sharma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 t="shared" ref="E6:E8" si="0">CONCATENATE(B6,"_",D6)</f>
        <v>JK_kumar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 t="shared" si="0"/>
        <v>Raju_Tewatia</v>
      </c>
    </row>
    <row r="8" spans="1:5" x14ac:dyDescent="0.3">
      <c r="B8" s="4" t="s">
        <v>329</v>
      </c>
      <c r="C8" s="4"/>
      <c r="D8" s="4" t="s">
        <v>330</v>
      </c>
      <c r="E8" s="4" t="str">
        <f t="shared" si="0"/>
        <v>amit_jain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4">
        <v>37</v>
      </c>
      <c r="B1" s="1" t="s">
        <v>331</v>
      </c>
    </row>
    <row r="2" spans="1:5" x14ac:dyDescent="0.3">
      <c r="A2" s="35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B4&amp;" "&amp;C4&amp;" "&amp;D4</f>
        <v>raj kumar singh</v>
      </c>
    </row>
    <row r="5" spans="1:5" x14ac:dyDescent="0.3">
      <c r="B5" s="4" t="s">
        <v>322</v>
      </c>
      <c r="C5" s="4"/>
      <c r="D5" s="4" t="s">
        <v>323</v>
      </c>
      <c r="E5" s="4" t="str">
        <f>B5&amp;" "&amp;C5&amp;" "&amp;D5</f>
        <v>Monu  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>B6&amp;" "&amp;C6&amp;" "&amp;D6</f>
        <v>JK rakesh 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>B7&amp;" "&amp;C7&amp;" "&amp;D7</f>
        <v>Raju Singh Tewatia</v>
      </c>
    </row>
    <row r="8" spans="1:5" x14ac:dyDescent="0.3">
      <c r="B8" s="4" t="s">
        <v>329</v>
      </c>
      <c r="C8" s="4"/>
      <c r="D8" s="4" t="s">
        <v>330</v>
      </c>
      <c r="E8" s="4" t="str">
        <f>B8&amp;" "&amp;C8&amp;" "&amp;D8</f>
        <v>amit  jain</v>
      </c>
    </row>
    <row r="10" spans="1:5" x14ac:dyDescent="0.3">
      <c r="B10" t="s">
        <v>96</v>
      </c>
      <c r="E10" t="str">
        <f>B4&amp;" "&amp;C4&amp;" "&amp;D4</f>
        <v>raj kumar singh</v>
      </c>
    </row>
    <row r="11" spans="1:5" x14ac:dyDescent="0.3">
      <c r="B11">
        <v>550</v>
      </c>
      <c r="C11" t="str">
        <f>"Price is = "&amp;B11</f>
        <v>Price is = 550</v>
      </c>
      <c r="E11" t="str">
        <f t="shared" ref="E11:E12" si="0">B5&amp;" "&amp;C5&amp;" "&amp;D5</f>
        <v>Monu  Sharma</v>
      </c>
    </row>
    <row r="12" spans="1:5" x14ac:dyDescent="0.3">
      <c r="B12">
        <v>345</v>
      </c>
      <c r="C12" t="str">
        <f>"Price is = "&amp;B12</f>
        <v>Price is = 345</v>
      </c>
      <c r="E12" t="str">
        <f t="shared" si="0"/>
        <v>JK rakesh kumar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12"/>
  <sheetViews>
    <sheetView zoomScale="130" zoomScaleNormal="130" workbookViewId="0">
      <pane ySplit="1" topLeftCell="A2" activePane="bottomLeft" state="frozen"/>
      <selection pane="bottomLeft" activeCell="E13" sqref="E13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4">
        <v>38</v>
      </c>
      <c r="B1" s="1" t="s">
        <v>332</v>
      </c>
    </row>
    <row r="2" spans="1:5" x14ac:dyDescent="0.3">
      <c r="A2" s="35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_xlfn.TEXTJOIN("_",TRUE,B4:D4)</f>
        <v>raj_kumar_singh</v>
      </c>
    </row>
    <row r="5" spans="1:5" x14ac:dyDescent="0.3">
      <c r="B5" s="4" t="s">
        <v>322</v>
      </c>
      <c r="C5" s="4"/>
      <c r="D5" s="4" t="s">
        <v>323</v>
      </c>
      <c r="E5" s="4" t="str">
        <f>_xlfn.TEXTJOIN("_",TRUE,B5:D5)</f>
        <v>Monu_Sharma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>_xlfn.TEXTJOIN("_",TRUE,B6:D6)</f>
        <v>JK_rakesh_kumar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>_xlfn.TEXTJOIN("_",TRUE,B7:D7)</f>
        <v>Raju_Singh_Tewatia</v>
      </c>
    </row>
    <row r="8" spans="1:5" x14ac:dyDescent="0.3">
      <c r="B8" s="4" t="s">
        <v>329</v>
      </c>
      <c r="C8" s="4"/>
      <c r="D8" s="4" t="s">
        <v>330</v>
      </c>
      <c r="E8" s="4" t="str">
        <f>_xlfn.TEXTJOIN("_",TRUE,B8:D8)</f>
        <v>amit_jain</v>
      </c>
    </row>
    <row r="10" spans="1:5" x14ac:dyDescent="0.3">
      <c r="E10" t="str">
        <f>_xlfn.TEXTJOIN("-",TRUE,B4:D4)</f>
        <v>raj-kumar-singh</v>
      </c>
    </row>
    <row r="11" spans="1:5" x14ac:dyDescent="0.3">
      <c r="E11" t="str">
        <f>_xlfn.TEXTJOIN("&amp;",FALSE,B5:D5)</f>
        <v>Monu&amp;&amp;Sharma</v>
      </c>
    </row>
    <row r="12" spans="1:5" x14ac:dyDescent="0.3">
      <c r="E12" t="str">
        <f>_xlfn.TEXTJOIN("&amp;",TRUE,B5:D5)</f>
        <v>Monu&amp;Sharma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F13"/>
  <sheetViews>
    <sheetView zoomScale="130" zoomScaleNormal="130" workbookViewId="0">
      <pane ySplit="1" topLeftCell="A2" activePane="bottomLeft" state="frozen"/>
      <selection pane="bottomLeft" activeCell="F11" sqref="F11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6" s="2" customFormat="1" ht="32.65" customHeight="1" thickBot="1" x14ac:dyDescent="0.35">
      <c r="A1" s="34">
        <v>39</v>
      </c>
      <c r="B1" s="1" t="s">
        <v>333</v>
      </c>
    </row>
    <row r="2" spans="1:6" x14ac:dyDescent="0.3">
      <c r="A2" s="35" t="s">
        <v>2</v>
      </c>
    </row>
    <row r="3" spans="1:6" x14ac:dyDescent="0.3">
      <c r="B3" s="3" t="s">
        <v>334</v>
      </c>
      <c r="C3" s="3" t="s">
        <v>335</v>
      </c>
    </row>
    <row r="4" spans="1:6" x14ac:dyDescent="0.3">
      <c r="B4" s="4" t="s">
        <v>336</v>
      </c>
      <c r="C4" s="4" t="str">
        <f>LEFT(B4,6)</f>
        <v>110062</v>
      </c>
      <c r="D4" t="str">
        <f>LEFT(B4,6)</f>
        <v>110062</v>
      </c>
    </row>
    <row r="5" spans="1:6" x14ac:dyDescent="0.3">
      <c r="B5" s="4" t="s">
        <v>337</v>
      </c>
      <c r="C5" s="4" t="str">
        <f>LEFT(B5,6)</f>
        <v>121102</v>
      </c>
      <c r="D5" t="str">
        <f>LEFT(B5,13)</f>
        <v>121102,palwal</v>
      </c>
    </row>
    <row r="6" spans="1:6" x14ac:dyDescent="0.3">
      <c r="B6" s="4" t="s">
        <v>338</v>
      </c>
      <c r="C6" s="4" t="str">
        <f>LEFT(B6,6)</f>
        <v>140003</v>
      </c>
      <c r="D6" t="str">
        <f>LEFT(B6,7)</f>
        <v>140003,</v>
      </c>
    </row>
    <row r="7" spans="1:6" x14ac:dyDescent="0.3">
      <c r="B7" s="4" t="s">
        <v>339</v>
      </c>
      <c r="C7" s="4" t="str">
        <f>LEFT(B7,6)</f>
        <v>121102</v>
      </c>
      <c r="D7" t="str">
        <f>LEFT(B7,15)</f>
        <v>121102,palwal,4</v>
      </c>
    </row>
    <row r="9" spans="1:6" x14ac:dyDescent="0.3">
      <c r="B9" t="s">
        <v>340</v>
      </c>
      <c r="C9">
        <f>FIND(",",B9)</f>
        <v>6</v>
      </c>
      <c r="E9" t="str">
        <f>LEFT(B9,FIND(",",B9)-1)</f>
        <v>delhi</v>
      </c>
      <c r="F9" t="str">
        <f>LEFT(B9,FIND(",",B9))</f>
        <v>delhi,</v>
      </c>
    </row>
    <row r="10" spans="1:6" x14ac:dyDescent="0.3">
      <c r="B10" t="s">
        <v>341</v>
      </c>
      <c r="C10">
        <f>FIND(",",B10)</f>
        <v>10</v>
      </c>
      <c r="E10" t="str">
        <f>LEFT(B10,FIND(",",B10)-1)</f>
        <v>faridabad</v>
      </c>
      <c r="F10" t="str">
        <f>LEFT(B11,FIND("w",B11))</f>
        <v>palw</v>
      </c>
    </row>
    <row r="11" spans="1:6" x14ac:dyDescent="0.3">
      <c r="B11" t="s">
        <v>342</v>
      </c>
      <c r="C11">
        <f>FIND(",",B11)</f>
        <v>7</v>
      </c>
      <c r="E11" t="str">
        <f>LEFT(B11,FIND(",",B11)-1)</f>
        <v>palwal</v>
      </c>
    </row>
    <row r="12" spans="1:6" x14ac:dyDescent="0.3">
      <c r="C12">
        <f>FIND("h",B9)</f>
        <v>4</v>
      </c>
    </row>
    <row r="13" spans="1:6" x14ac:dyDescent="0.3">
      <c r="C13">
        <f>FIND("a",B10)</f>
        <v>2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D13"/>
  <sheetViews>
    <sheetView tabSelected="1" zoomScale="130" zoomScaleNormal="130" workbookViewId="0">
      <pane ySplit="1" topLeftCell="A2" activePane="bottomLeft" state="frozen"/>
      <selection pane="bottomLeft" activeCell="D11" sqref="D11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4" s="2" customFormat="1" ht="32.65" customHeight="1" thickBot="1" x14ac:dyDescent="0.35">
      <c r="A1" s="34">
        <v>40</v>
      </c>
      <c r="B1" s="1" t="s">
        <v>343</v>
      </c>
    </row>
    <row r="2" spans="1:4" x14ac:dyDescent="0.3">
      <c r="A2" s="35" t="s">
        <v>2</v>
      </c>
    </row>
    <row r="3" spans="1:4" x14ac:dyDescent="0.3">
      <c r="B3" s="3" t="s">
        <v>334</v>
      </c>
      <c r="C3" s="3" t="s">
        <v>344</v>
      </c>
    </row>
    <row r="4" spans="1:4" x14ac:dyDescent="0.3">
      <c r="B4" s="4" t="s">
        <v>336</v>
      </c>
      <c r="C4" s="4" t="str">
        <f>RIGHT(B4,10)</f>
        <v>9999999999</v>
      </c>
      <c r="D4" t="str">
        <f>RIGHT(B4,9)</f>
        <v>999999999</v>
      </c>
    </row>
    <row r="5" spans="1:4" x14ac:dyDescent="0.3">
      <c r="B5" s="4" t="s">
        <v>337</v>
      </c>
      <c r="C5" s="4" t="str">
        <f>RIGHT(B5,10)</f>
        <v>4444444444</v>
      </c>
      <c r="D5" t="str">
        <f>RIGHT(B5,15)</f>
        <v>lwal,4444444444</v>
      </c>
    </row>
    <row r="6" spans="1:4" x14ac:dyDescent="0.3">
      <c r="B6" s="4" t="s">
        <v>338</v>
      </c>
      <c r="C6" s="4" t="str">
        <f>RIGHT(B6,10)</f>
        <v>3333333333</v>
      </c>
      <c r="D6" t="str">
        <f>RIGHT(B6,10)</f>
        <v>3333333333</v>
      </c>
    </row>
    <row r="7" spans="1:4" x14ac:dyDescent="0.3">
      <c r="B7" s="4" t="s">
        <v>339</v>
      </c>
      <c r="C7" s="4" t="str">
        <f>RIGHT(B7,10)</f>
        <v>4456555555</v>
      </c>
      <c r="D7" t="str">
        <f>RIGHT(B7,20)</f>
        <v>02,palwal,4456555555</v>
      </c>
    </row>
    <row r="8" spans="1:4" x14ac:dyDescent="0.3">
      <c r="C8" s="4" t="str">
        <f>RIGHT(B8,10)</f>
        <v/>
      </c>
    </row>
    <row r="9" spans="1:4" x14ac:dyDescent="0.3">
      <c r="B9" t="s">
        <v>344</v>
      </c>
    </row>
    <row r="10" spans="1:4" x14ac:dyDescent="0.3">
      <c r="B10">
        <v>91224567890</v>
      </c>
      <c r="C10" t="str">
        <f>LEFT(B10,4)&amp;"****"&amp;RIGHT(B10,3)</f>
        <v>9122****890</v>
      </c>
      <c r="D10" t="str">
        <f>LEFT(B10,4)&amp;"****"&amp;RIGHT(B10,3)</f>
        <v>9122****890</v>
      </c>
    </row>
    <row r="11" spans="1:4" x14ac:dyDescent="0.3">
      <c r="B11">
        <v>91224567891</v>
      </c>
      <c r="C11" t="str">
        <f>LEFT(B11,4)&amp;"****"&amp;RIGHT(B11,3)</f>
        <v>9122****891</v>
      </c>
    </row>
    <row r="12" spans="1:4" x14ac:dyDescent="0.3">
      <c r="B12">
        <v>91224567892</v>
      </c>
      <c r="C12" t="str">
        <f>LEFT(B12,4)&amp;"****"&amp;RIGHT(B12,3)</f>
        <v>9122****892</v>
      </c>
    </row>
    <row r="13" spans="1:4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4">
        <v>41</v>
      </c>
      <c r="B1" s="1" t="s">
        <v>345</v>
      </c>
    </row>
    <row r="2" spans="1:3" x14ac:dyDescent="0.3">
      <c r="A2" s="35" t="s">
        <v>2</v>
      </c>
    </row>
    <row r="3" spans="1:3" x14ac:dyDescent="0.3">
      <c r="B3" s="3" t="s">
        <v>346</v>
      </c>
      <c r="C3" s="3"/>
    </row>
    <row r="4" spans="1:3" x14ac:dyDescent="0.3">
      <c r="B4" s="4" t="s">
        <v>347</v>
      </c>
      <c r="C4" s="4" t="str">
        <f>MID(B4,7,7)</f>
        <v>2343454</v>
      </c>
    </row>
    <row r="5" spans="1:3" x14ac:dyDescent="0.3">
      <c r="B5" s="4" t="s">
        <v>348</v>
      </c>
      <c r="C5" s="4" t="str">
        <f>MID(B5,7,7)</f>
        <v>2343455</v>
      </c>
    </row>
    <row r="6" spans="1:3" x14ac:dyDescent="0.3">
      <c r="B6" s="4" t="s">
        <v>349</v>
      </c>
      <c r="C6" s="4" t="str">
        <f>MID(B6,7,7)</f>
        <v>2343456</v>
      </c>
    </row>
    <row r="7" spans="1:3" x14ac:dyDescent="0.3">
      <c r="B7" s="4" t="s">
        <v>350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4">
        <v>42</v>
      </c>
      <c r="B1" s="1" t="s">
        <v>351</v>
      </c>
      <c r="C1" s="1" t="s">
        <v>352</v>
      </c>
    </row>
    <row r="2" spans="1:15" ht="19.5" thickBot="1" x14ac:dyDescent="0.35">
      <c r="A2" s="35" t="s">
        <v>2</v>
      </c>
      <c r="F2" t="s">
        <v>353</v>
      </c>
      <c r="H2" s="65" t="s">
        <v>354</v>
      </c>
      <c r="I2" s="65" t="s">
        <v>315</v>
      </c>
      <c r="J2" s="65" t="s">
        <v>317</v>
      </c>
      <c r="K2" s="65" t="s">
        <v>355</v>
      </c>
      <c r="L2" s="65" t="s">
        <v>84</v>
      </c>
      <c r="M2" s="65" t="s">
        <v>356</v>
      </c>
      <c r="N2" s="65" t="s">
        <v>357</v>
      </c>
      <c r="O2" s="65" t="s">
        <v>252</v>
      </c>
    </row>
    <row r="3" spans="1:15" x14ac:dyDescent="0.3">
      <c r="A3" s="35" t="s">
        <v>953</v>
      </c>
      <c r="B3" s="3" t="s">
        <v>346</v>
      </c>
      <c r="C3" s="4" t="s">
        <v>358</v>
      </c>
      <c r="D3" s="3"/>
      <c r="H3" s="66">
        <v>2</v>
      </c>
      <c r="I3" s="67" t="s">
        <v>359</v>
      </c>
      <c r="J3" s="67" t="s">
        <v>360</v>
      </c>
      <c r="K3" s="67" t="s">
        <v>361</v>
      </c>
      <c r="L3" s="67" t="s">
        <v>221</v>
      </c>
      <c r="M3" s="67" t="s">
        <v>362</v>
      </c>
      <c r="N3" s="68">
        <v>28126</v>
      </c>
      <c r="O3" s="69">
        <v>17500</v>
      </c>
    </row>
    <row r="4" spans="1:15" x14ac:dyDescent="0.3">
      <c r="B4" s="4" t="s">
        <v>347</v>
      </c>
      <c r="C4" s="4">
        <v>2343454</v>
      </c>
      <c r="D4" s="4"/>
      <c r="H4" s="66">
        <v>10</v>
      </c>
      <c r="I4" s="67" t="s">
        <v>363</v>
      </c>
      <c r="J4" s="67" t="s">
        <v>364</v>
      </c>
      <c r="K4" s="67" t="s">
        <v>365</v>
      </c>
      <c r="L4" s="67" t="s">
        <v>221</v>
      </c>
      <c r="M4" s="67" t="s">
        <v>366</v>
      </c>
      <c r="N4" s="68">
        <v>28326</v>
      </c>
      <c r="O4" s="69">
        <v>15750</v>
      </c>
    </row>
    <row r="5" spans="1:15" x14ac:dyDescent="0.3">
      <c r="B5" s="4" t="s">
        <v>348</v>
      </c>
      <c r="C5" s="4">
        <v>2343455</v>
      </c>
      <c r="D5" s="4"/>
      <c r="H5" s="66">
        <v>13</v>
      </c>
      <c r="I5" s="67" t="s">
        <v>367</v>
      </c>
      <c r="J5" s="67" t="s">
        <v>368</v>
      </c>
      <c r="K5" s="67" t="s">
        <v>369</v>
      </c>
      <c r="L5" s="67" t="s">
        <v>221</v>
      </c>
      <c r="M5" s="67" t="s">
        <v>370</v>
      </c>
      <c r="N5" s="68">
        <v>31027</v>
      </c>
      <c r="O5" s="69">
        <v>19250</v>
      </c>
    </row>
    <row r="6" spans="1:15" x14ac:dyDescent="0.3">
      <c r="B6" s="4" t="s">
        <v>349</v>
      </c>
      <c r="C6" s="4">
        <v>2343456</v>
      </c>
      <c r="D6" s="4"/>
      <c r="H6" s="66">
        <v>17</v>
      </c>
      <c r="I6" s="67" t="s">
        <v>371</v>
      </c>
      <c r="J6" s="67" t="s">
        <v>372</v>
      </c>
      <c r="K6" s="67" t="s">
        <v>373</v>
      </c>
      <c r="L6" s="67" t="s">
        <v>221</v>
      </c>
      <c r="M6" s="67" t="s">
        <v>362</v>
      </c>
      <c r="N6" s="68">
        <v>30376</v>
      </c>
      <c r="O6" s="69">
        <v>15750</v>
      </c>
    </row>
    <row r="7" spans="1:15" x14ac:dyDescent="0.3">
      <c r="B7" s="4" t="s">
        <v>350</v>
      </c>
      <c r="C7" s="4">
        <v>2343457</v>
      </c>
      <c r="D7" s="4"/>
      <c r="H7" s="66">
        <v>21</v>
      </c>
      <c r="I7" s="67" t="s">
        <v>374</v>
      </c>
      <c r="J7" s="67" t="s">
        <v>375</v>
      </c>
      <c r="K7" s="67" t="s">
        <v>365</v>
      </c>
      <c r="L7" s="67" t="s">
        <v>221</v>
      </c>
      <c r="M7" s="67" t="s">
        <v>376</v>
      </c>
      <c r="N7" s="68">
        <v>36317</v>
      </c>
      <c r="O7" s="69">
        <v>7875</v>
      </c>
    </row>
    <row r="8" spans="1:15" x14ac:dyDescent="0.3">
      <c r="H8" s="66">
        <v>26</v>
      </c>
      <c r="I8" s="67" t="s">
        <v>377</v>
      </c>
      <c r="J8" s="67" t="s">
        <v>378</v>
      </c>
      <c r="K8" s="67" t="s">
        <v>361</v>
      </c>
      <c r="L8" s="67" t="s">
        <v>221</v>
      </c>
      <c r="M8" s="67" t="s">
        <v>362</v>
      </c>
      <c r="N8" s="68">
        <v>30225</v>
      </c>
      <c r="O8" s="69">
        <v>19250</v>
      </c>
    </row>
    <row r="9" spans="1:15" x14ac:dyDescent="0.3">
      <c r="B9" s="3" t="s">
        <v>334</v>
      </c>
      <c r="C9" s="3" t="s">
        <v>379</v>
      </c>
      <c r="D9" s="3" t="s">
        <v>344</v>
      </c>
      <c r="H9" s="66">
        <v>30</v>
      </c>
      <c r="I9" s="67" t="s">
        <v>380</v>
      </c>
      <c r="J9" s="67" t="s">
        <v>381</v>
      </c>
      <c r="K9" s="67" t="s">
        <v>382</v>
      </c>
      <c r="L9" s="67" t="s">
        <v>221</v>
      </c>
      <c r="M9" s="67" t="s">
        <v>376</v>
      </c>
      <c r="N9" s="68">
        <v>32435</v>
      </c>
      <c r="O9" s="69">
        <v>14175</v>
      </c>
    </row>
    <row r="10" spans="1:15" x14ac:dyDescent="0.3">
      <c r="B10" s="4" t="s">
        <v>336</v>
      </c>
      <c r="C10" s="4" t="s">
        <v>383</v>
      </c>
      <c r="D10" s="4"/>
      <c r="H10" s="66">
        <v>41</v>
      </c>
      <c r="I10" s="67" t="s">
        <v>384</v>
      </c>
      <c r="J10" s="67" t="s">
        <v>385</v>
      </c>
      <c r="K10" s="67" t="s">
        <v>373</v>
      </c>
      <c r="L10" s="67" t="s">
        <v>221</v>
      </c>
      <c r="M10" s="67" t="s">
        <v>366</v>
      </c>
      <c r="N10" s="68">
        <v>35595</v>
      </c>
      <c r="O10" s="69">
        <v>7875</v>
      </c>
    </row>
    <row r="11" spans="1:15" x14ac:dyDescent="0.3">
      <c r="B11" s="4" t="s">
        <v>337</v>
      </c>
      <c r="C11" s="4" t="s">
        <v>386</v>
      </c>
      <c r="D11" s="4"/>
      <c r="H11" s="66">
        <v>42</v>
      </c>
      <c r="I11" s="67" t="s">
        <v>387</v>
      </c>
      <c r="J11" s="67" t="s">
        <v>388</v>
      </c>
      <c r="K11" s="67" t="s">
        <v>389</v>
      </c>
      <c r="L11" s="67" t="s">
        <v>221</v>
      </c>
      <c r="M11" s="67" t="s">
        <v>370</v>
      </c>
      <c r="N11" s="68">
        <v>33510</v>
      </c>
      <c r="O11" s="69">
        <v>13300</v>
      </c>
    </row>
    <row r="12" spans="1:15" x14ac:dyDescent="0.3">
      <c r="B12" s="4" t="s">
        <v>338</v>
      </c>
      <c r="C12" s="4" t="s">
        <v>390</v>
      </c>
      <c r="D12" s="4"/>
      <c r="H12" s="66">
        <v>44</v>
      </c>
      <c r="I12" s="67" t="s">
        <v>391</v>
      </c>
      <c r="J12" s="67" t="s">
        <v>392</v>
      </c>
      <c r="K12" s="67" t="s">
        <v>382</v>
      </c>
      <c r="L12" s="67" t="s">
        <v>221</v>
      </c>
      <c r="M12" s="67" t="s">
        <v>362</v>
      </c>
      <c r="N12" s="68">
        <v>33194</v>
      </c>
      <c r="O12" s="69">
        <v>13825</v>
      </c>
    </row>
    <row r="13" spans="1:15" x14ac:dyDescent="0.3">
      <c r="B13" s="4" t="s">
        <v>339</v>
      </c>
      <c r="C13" s="4" t="s">
        <v>386</v>
      </c>
      <c r="D13" s="4"/>
      <c r="H13" s="66">
        <v>54</v>
      </c>
      <c r="I13" s="67" t="s">
        <v>393</v>
      </c>
      <c r="J13" s="67" t="s">
        <v>394</v>
      </c>
      <c r="K13" s="67" t="s">
        <v>395</v>
      </c>
      <c r="L13" s="67" t="s">
        <v>221</v>
      </c>
      <c r="M13" s="67" t="s">
        <v>396</v>
      </c>
      <c r="N13" s="68">
        <v>34761</v>
      </c>
      <c r="O13" s="69">
        <v>15750</v>
      </c>
    </row>
    <row r="14" spans="1:15" x14ac:dyDescent="0.3">
      <c r="H14" s="66">
        <v>55</v>
      </c>
      <c r="I14" s="67" t="s">
        <v>397</v>
      </c>
      <c r="J14" s="67" t="s">
        <v>398</v>
      </c>
      <c r="K14" s="67" t="s">
        <v>395</v>
      </c>
      <c r="L14" s="67" t="s">
        <v>221</v>
      </c>
      <c r="M14" s="67" t="s">
        <v>399</v>
      </c>
      <c r="N14" s="68">
        <v>31717</v>
      </c>
      <c r="O14" s="69">
        <v>15750</v>
      </c>
    </row>
    <row r="15" spans="1:15" x14ac:dyDescent="0.3">
      <c r="H15" s="66">
        <v>65</v>
      </c>
      <c r="I15" s="67" t="s">
        <v>400</v>
      </c>
      <c r="J15" s="67" t="s">
        <v>401</v>
      </c>
      <c r="K15" s="67" t="s">
        <v>395</v>
      </c>
      <c r="L15" s="67" t="s">
        <v>221</v>
      </c>
      <c r="M15" s="67" t="s">
        <v>370</v>
      </c>
      <c r="N15" s="68">
        <v>32442</v>
      </c>
      <c r="O15" s="69">
        <v>17500</v>
      </c>
    </row>
    <row r="16" spans="1:15" x14ac:dyDescent="0.3">
      <c r="B16" s="3" t="s">
        <v>315</v>
      </c>
      <c r="C16" s="3" t="s">
        <v>316</v>
      </c>
      <c r="D16" s="3" t="s">
        <v>317</v>
      </c>
      <c r="E16" s="3" t="s">
        <v>318</v>
      </c>
      <c r="H16" s="66">
        <v>70</v>
      </c>
      <c r="I16" s="67" t="s">
        <v>402</v>
      </c>
      <c r="J16" s="67" t="s">
        <v>403</v>
      </c>
      <c r="K16" s="67" t="s">
        <v>365</v>
      </c>
      <c r="L16" s="67" t="s">
        <v>221</v>
      </c>
      <c r="M16" s="67" t="s">
        <v>370</v>
      </c>
      <c r="N16" s="68">
        <v>34762</v>
      </c>
      <c r="O16" s="69">
        <v>14000</v>
      </c>
    </row>
    <row r="17" spans="2:15" x14ac:dyDescent="0.3">
      <c r="B17" s="4" t="s">
        <v>319</v>
      </c>
      <c r="C17" s="4" t="s">
        <v>320</v>
      </c>
      <c r="D17" s="4" t="s">
        <v>321</v>
      </c>
      <c r="E17" s="4"/>
      <c r="H17" s="66">
        <v>74</v>
      </c>
      <c r="I17" s="67" t="s">
        <v>404</v>
      </c>
      <c r="J17" s="67" t="s">
        <v>405</v>
      </c>
      <c r="K17" s="67" t="s">
        <v>361</v>
      </c>
      <c r="L17" s="67" t="s">
        <v>221</v>
      </c>
      <c r="M17" s="67" t="s">
        <v>366</v>
      </c>
      <c r="N17" s="68">
        <v>32440</v>
      </c>
      <c r="O17" s="69">
        <v>17500</v>
      </c>
    </row>
    <row r="18" spans="2:15" x14ac:dyDescent="0.3">
      <c r="B18" s="4" t="s">
        <v>406</v>
      </c>
      <c r="C18" s="4"/>
      <c r="D18" s="4" t="s">
        <v>323</v>
      </c>
      <c r="E18" s="4"/>
      <c r="H18" s="66">
        <v>75</v>
      </c>
      <c r="I18" s="67" t="s">
        <v>407</v>
      </c>
      <c r="J18" s="67" t="s">
        <v>408</v>
      </c>
      <c r="K18" s="67" t="s">
        <v>373</v>
      </c>
      <c r="L18" s="67" t="s">
        <v>221</v>
      </c>
      <c r="M18" s="67" t="s">
        <v>370</v>
      </c>
      <c r="N18" s="68">
        <v>32441</v>
      </c>
      <c r="O18" s="69">
        <v>17500</v>
      </c>
    </row>
    <row r="19" spans="2:15" x14ac:dyDescent="0.3">
      <c r="B19" s="4" t="s">
        <v>409</v>
      </c>
      <c r="C19" s="4" t="s">
        <v>325</v>
      </c>
      <c r="D19" s="4" t="s">
        <v>320</v>
      </c>
      <c r="E19" s="4"/>
      <c r="H19" s="66">
        <v>82</v>
      </c>
      <c r="I19" s="67" t="s">
        <v>410</v>
      </c>
      <c r="J19" s="67" t="s">
        <v>411</v>
      </c>
      <c r="K19" s="67" t="s">
        <v>389</v>
      </c>
      <c r="L19" s="67" t="s">
        <v>221</v>
      </c>
      <c r="M19" s="67" t="s">
        <v>362</v>
      </c>
      <c r="N19" s="68">
        <v>32448</v>
      </c>
      <c r="O19" s="69">
        <v>17500</v>
      </c>
    </row>
    <row r="20" spans="2:15" x14ac:dyDescent="0.3">
      <c r="B20" s="4" t="s">
        <v>412</v>
      </c>
      <c r="C20" s="4" t="s">
        <v>327</v>
      </c>
      <c r="D20" s="4" t="s">
        <v>328</v>
      </c>
      <c r="E20" s="4"/>
      <c r="H20" s="66">
        <v>84</v>
      </c>
      <c r="I20" s="67" t="s">
        <v>413</v>
      </c>
      <c r="J20" s="67" t="s">
        <v>414</v>
      </c>
      <c r="K20" s="67" t="s">
        <v>389</v>
      </c>
      <c r="L20" s="67" t="s">
        <v>221</v>
      </c>
      <c r="M20" s="67" t="s">
        <v>370</v>
      </c>
      <c r="N20" s="68">
        <v>36222</v>
      </c>
      <c r="O20" s="69">
        <v>7000</v>
      </c>
    </row>
    <row r="21" spans="2:15" x14ac:dyDescent="0.3">
      <c r="B21" s="4" t="s">
        <v>329</v>
      </c>
      <c r="C21" s="4"/>
      <c r="D21" s="4" t="s">
        <v>330</v>
      </c>
      <c r="E21" s="4"/>
      <c r="H21" s="66">
        <v>91</v>
      </c>
      <c r="I21" s="67" t="s">
        <v>415</v>
      </c>
      <c r="J21" s="67" t="s">
        <v>416</v>
      </c>
      <c r="K21" s="67" t="s">
        <v>361</v>
      </c>
      <c r="L21" s="67" t="s">
        <v>221</v>
      </c>
      <c r="M21" s="67" t="s">
        <v>370</v>
      </c>
      <c r="N21" s="68">
        <v>29172</v>
      </c>
      <c r="O21" s="69">
        <v>22750</v>
      </c>
    </row>
    <row r="22" spans="2:15" x14ac:dyDescent="0.3">
      <c r="H22" s="66">
        <v>92</v>
      </c>
      <c r="I22" s="67" t="s">
        <v>201</v>
      </c>
      <c r="J22" s="67" t="s">
        <v>417</v>
      </c>
      <c r="K22" s="67" t="s">
        <v>365</v>
      </c>
      <c r="L22" s="67" t="s">
        <v>221</v>
      </c>
      <c r="M22" s="67" t="s">
        <v>396</v>
      </c>
      <c r="N22" s="68">
        <v>32603</v>
      </c>
      <c r="O22" s="69">
        <v>17325</v>
      </c>
    </row>
    <row r="23" spans="2:15" x14ac:dyDescent="0.3">
      <c r="B23" s="3" t="s">
        <v>83</v>
      </c>
      <c r="C23" s="3" t="s">
        <v>83</v>
      </c>
      <c r="H23" s="66">
        <v>1</v>
      </c>
      <c r="I23" s="67" t="s">
        <v>418</v>
      </c>
      <c r="J23" s="67" t="s">
        <v>419</v>
      </c>
      <c r="K23" s="67" t="s">
        <v>361</v>
      </c>
      <c r="L23" s="67" t="s">
        <v>420</v>
      </c>
      <c r="M23" s="67" t="s">
        <v>421</v>
      </c>
      <c r="N23" s="68">
        <v>28126</v>
      </c>
      <c r="O23" s="69">
        <v>21875</v>
      </c>
    </row>
    <row r="24" spans="2:15" x14ac:dyDescent="0.3">
      <c r="B24" s="4" t="s">
        <v>422</v>
      </c>
      <c r="C24" s="4"/>
      <c r="H24" s="66">
        <v>4</v>
      </c>
      <c r="I24" s="67" t="s">
        <v>423</v>
      </c>
      <c r="J24" s="67" t="s">
        <v>424</v>
      </c>
      <c r="K24" s="67" t="s">
        <v>365</v>
      </c>
      <c r="L24" s="67" t="s">
        <v>420</v>
      </c>
      <c r="M24" s="67" t="s">
        <v>383</v>
      </c>
      <c r="N24" s="68">
        <v>29183</v>
      </c>
      <c r="O24" s="69">
        <v>12250</v>
      </c>
    </row>
    <row r="25" spans="2:15" x14ac:dyDescent="0.3">
      <c r="B25" s="4" t="s">
        <v>109</v>
      </c>
      <c r="C25" s="4"/>
      <c r="H25" s="66">
        <v>5</v>
      </c>
      <c r="I25" s="67" t="s">
        <v>425</v>
      </c>
      <c r="J25" s="67" t="s">
        <v>426</v>
      </c>
      <c r="K25" s="67" t="s">
        <v>389</v>
      </c>
      <c r="L25" s="67" t="s">
        <v>420</v>
      </c>
      <c r="M25" s="67" t="s">
        <v>427</v>
      </c>
      <c r="N25" s="68">
        <v>32755</v>
      </c>
      <c r="O25" s="69">
        <v>21000</v>
      </c>
    </row>
    <row r="26" spans="2:15" x14ac:dyDescent="0.3">
      <c r="B26" s="4" t="s">
        <v>111</v>
      </c>
      <c r="C26" s="4"/>
      <c r="H26" s="66">
        <v>6</v>
      </c>
      <c r="I26" s="67" t="s">
        <v>428</v>
      </c>
      <c r="J26" s="67" t="s">
        <v>429</v>
      </c>
      <c r="K26" s="67" t="s">
        <v>389</v>
      </c>
      <c r="L26" s="67" t="s">
        <v>420</v>
      </c>
      <c r="M26" s="67" t="s">
        <v>430</v>
      </c>
      <c r="N26" s="68">
        <v>32390</v>
      </c>
      <c r="O26" s="69">
        <v>12425</v>
      </c>
    </row>
    <row r="27" spans="2:15" x14ac:dyDescent="0.3">
      <c r="B27" s="4" t="s">
        <v>431</v>
      </c>
      <c r="C27" s="4"/>
      <c r="H27" s="66">
        <v>8</v>
      </c>
      <c r="I27" s="67" t="s">
        <v>432</v>
      </c>
      <c r="J27" s="67" t="s">
        <v>433</v>
      </c>
      <c r="K27" s="67" t="s">
        <v>389</v>
      </c>
      <c r="L27" s="67" t="s">
        <v>420</v>
      </c>
      <c r="M27" s="67" t="s">
        <v>434</v>
      </c>
      <c r="N27" s="68">
        <v>32755</v>
      </c>
      <c r="O27" s="69">
        <v>12425</v>
      </c>
    </row>
    <row r="28" spans="2:15" x14ac:dyDescent="0.3">
      <c r="H28" s="66">
        <v>9</v>
      </c>
      <c r="I28" s="67" t="s">
        <v>435</v>
      </c>
      <c r="J28" s="67" t="s">
        <v>436</v>
      </c>
      <c r="K28" s="67" t="s">
        <v>361</v>
      </c>
      <c r="L28" s="67" t="s">
        <v>420</v>
      </c>
      <c r="M28" s="67" t="s">
        <v>437</v>
      </c>
      <c r="N28" s="68">
        <v>36506</v>
      </c>
      <c r="O28" s="69">
        <v>14875</v>
      </c>
    </row>
    <row r="29" spans="2:15" x14ac:dyDescent="0.3">
      <c r="H29" s="66">
        <v>12</v>
      </c>
      <c r="I29" s="67" t="s">
        <v>438</v>
      </c>
      <c r="J29" s="67" t="s">
        <v>439</v>
      </c>
      <c r="K29" s="67" t="s">
        <v>373</v>
      </c>
      <c r="L29" s="67" t="s">
        <v>420</v>
      </c>
      <c r="M29" s="67" t="s">
        <v>440</v>
      </c>
      <c r="N29" s="68">
        <v>30376</v>
      </c>
      <c r="O29" s="69">
        <v>21000</v>
      </c>
    </row>
    <row r="30" spans="2:15" x14ac:dyDescent="0.3">
      <c r="H30" s="66">
        <v>15</v>
      </c>
      <c r="I30" s="67" t="s">
        <v>441</v>
      </c>
      <c r="J30" s="67" t="s">
        <v>442</v>
      </c>
      <c r="K30" s="67" t="s">
        <v>382</v>
      </c>
      <c r="L30" s="67" t="s">
        <v>420</v>
      </c>
      <c r="M30" s="67" t="s">
        <v>440</v>
      </c>
      <c r="N30" s="68">
        <v>31029</v>
      </c>
      <c r="O30" s="69">
        <v>14875</v>
      </c>
    </row>
    <row r="31" spans="2:15" x14ac:dyDescent="0.3">
      <c r="H31" s="66">
        <v>16</v>
      </c>
      <c r="I31" s="67" t="s">
        <v>443</v>
      </c>
      <c r="J31" s="67" t="s">
        <v>444</v>
      </c>
      <c r="K31" s="67" t="s">
        <v>382</v>
      </c>
      <c r="L31" s="67" t="s">
        <v>420</v>
      </c>
      <c r="M31" s="67" t="s">
        <v>445</v>
      </c>
      <c r="N31" s="68">
        <v>31030</v>
      </c>
      <c r="O31" s="69">
        <v>14875</v>
      </c>
    </row>
    <row r="32" spans="2:15" x14ac:dyDescent="0.3">
      <c r="H32" s="66">
        <v>19</v>
      </c>
      <c r="I32" s="67" t="s">
        <v>446</v>
      </c>
      <c r="J32" s="67" t="s">
        <v>447</v>
      </c>
      <c r="K32" s="67" t="s">
        <v>365</v>
      </c>
      <c r="L32" s="67" t="s">
        <v>420</v>
      </c>
      <c r="M32" s="67" t="s">
        <v>430</v>
      </c>
      <c r="N32" s="68">
        <v>31637</v>
      </c>
      <c r="O32" s="69">
        <v>10500</v>
      </c>
    </row>
    <row r="33" spans="8:15" x14ac:dyDescent="0.3">
      <c r="H33" s="66">
        <v>20</v>
      </c>
      <c r="I33" s="67" t="s">
        <v>448</v>
      </c>
      <c r="J33" s="67" t="s">
        <v>449</v>
      </c>
      <c r="K33" s="67" t="s">
        <v>365</v>
      </c>
      <c r="L33" s="67" t="s">
        <v>420</v>
      </c>
      <c r="M33" s="67" t="s">
        <v>445</v>
      </c>
      <c r="N33" s="68">
        <v>36316</v>
      </c>
      <c r="O33" s="69">
        <v>5950</v>
      </c>
    </row>
    <row r="34" spans="8:15" x14ac:dyDescent="0.3">
      <c r="H34" s="66">
        <v>29</v>
      </c>
      <c r="I34" s="67" t="s">
        <v>450</v>
      </c>
      <c r="J34" s="67" t="s">
        <v>451</v>
      </c>
      <c r="K34" s="67" t="s">
        <v>373</v>
      </c>
      <c r="L34" s="67" t="s">
        <v>420</v>
      </c>
      <c r="M34" s="67" t="s">
        <v>445</v>
      </c>
      <c r="N34" s="68">
        <v>35189</v>
      </c>
      <c r="O34" s="69">
        <v>9625</v>
      </c>
    </row>
    <row r="35" spans="8:15" x14ac:dyDescent="0.3">
      <c r="H35" s="66">
        <v>31</v>
      </c>
      <c r="I35" s="67" t="s">
        <v>452</v>
      </c>
      <c r="J35" s="67" t="s">
        <v>453</v>
      </c>
      <c r="K35" s="67" t="s">
        <v>389</v>
      </c>
      <c r="L35" s="67" t="s">
        <v>420</v>
      </c>
      <c r="M35" s="67" t="s">
        <v>434</v>
      </c>
      <c r="N35" s="68">
        <v>30225</v>
      </c>
      <c r="O35" s="69">
        <v>15750</v>
      </c>
    </row>
    <row r="36" spans="8:15" x14ac:dyDescent="0.3">
      <c r="H36" s="66">
        <v>33</v>
      </c>
      <c r="I36" s="67" t="s">
        <v>454</v>
      </c>
      <c r="J36" s="67" t="s">
        <v>455</v>
      </c>
      <c r="K36" s="67" t="s">
        <v>395</v>
      </c>
      <c r="L36" s="67" t="s">
        <v>420</v>
      </c>
      <c r="M36" s="67" t="s">
        <v>437</v>
      </c>
      <c r="N36" s="68">
        <v>35618</v>
      </c>
      <c r="O36" s="69">
        <v>7000</v>
      </c>
    </row>
    <row r="37" spans="8:15" x14ac:dyDescent="0.3">
      <c r="H37" s="66">
        <v>34</v>
      </c>
      <c r="I37" s="67" t="s">
        <v>456</v>
      </c>
      <c r="J37" s="67" t="s">
        <v>457</v>
      </c>
      <c r="K37" s="67" t="s">
        <v>395</v>
      </c>
      <c r="L37" s="67" t="s">
        <v>420</v>
      </c>
      <c r="M37" s="67" t="s">
        <v>458</v>
      </c>
      <c r="N37" s="68">
        <v>33510</v>
      </c>
      <c r="O37" s="69">
        <v>8750</v>
      </c>
    </row>
    <row r="38" spans="8:15" x14ac:dyDescent="0.3">
      <c r="H38" s="66">
        <v>38</v>
      </c>
      <c r="I38" s="67" t="s">
        <v>459</v>
      </c>
      <c r="J38" s="67" t="s">
        <v>460</v>
      </c>
      <c r="K38" s="67" t="s">
        <v>369</v>
      </c>
      <c r="L38" s="67" t="s">
        <v>420</v>
      </c>
      <c r="M38" s="67" t="s">
        <v>461</v>
      </c>
      <c r="N38" s="68">
        <v>30225</v>
      </c>
      <c r="O38" s="69">
        <v>24500</v>
      </c>
    </row>
    <row r="39" spans="8:15" x14ac:dyDescent="0.3">
      <c r="H39" s="66">
        <v>39</v>
      </c>
      <c r="I39" s="67" t="s">
        <v>462</v>
      </c>
      <c r="J39" s="67" t="s">
        <v>463</v>
      </c>
      <c r="K39" s="67" t="s">
        <v>369</v>
      </c>
      <c r="L39" s="67" t="s">
        <v>420</v>
      </c>
      <c r="M39" s="67" t="s">
        <v>464</v>
      </c>
      <c r="N39" s="68">
        <v>30225</v>
      </c>
      <c r="O39" s="69">
        <v>24500</v>
      </c>
    </row>
    <row r="40" spans="8:15" x14ac:dyDescent="0.3">
      <c r="H40" s="66">
        <v>45</v>
      </c>
      <c r="I40" s="67" t="s">
        <v>465</v>
      </c>
      <c r="J40" s="67" t="s">
        <v>466</v>
      </c>
      <c r="K40" s="67" t="s">
        <v>389</v>
      </c>
      <c r="L40" s="67" t="s">
        <v>420</v>
      </c>
      <c r="M40" s="67" t="s">
        <v>421</v>
      </c>
      <c r="N40" s="68">
        <v>35618</v>
      </c>
      <c r="O40" s="69">
        <v>11375</v>
      </c>
    </row>
    <row r="41" spans="8:15" x14ac:dyDescent="0.3">
      <c r="H41" s="66">
        <v>46</v>
      </c>
      <c r="I41" s="67" t="s">
        <v>467</v>
      </c>
      <c r="J41" s="67" t="s">
        <v>468</v>
      </c>
      <c r="K41" s="67" t="s">
        <v>361</v>
      </c>
      <c r="L41" s="67" t="s">
        <v>420</v>
      </c>
      <c r="M41" s="67" t="s">
        <v>458</v>
      </c>
      <c r="N41" s="68">
        <v>33510</v>
      </c>
      <c r="O41" s="69">
        <v>15750</v>
      </c>
    </row>
    <row r="42" spans="8:15" x14ac:dyDescent="0.3">
      <c r="H42" s="66">
        <v>47</v>
      </c>
      <c r="I42" s="67" t="s">
        <v>469</v>
      </c>
      <c r="J42" s="67" t="s">
        <v>470</v>
      </c>
      <c r="K42" s="67" t="s">
        <v>373</v>
      </c>
      <c r="L42" s="67" t="s">
        <v>420</v>
      </c>
      <c r="M42" s="67" t="s">
        <v>427</v>
      </c>
      <c r="N42" s="68">
        <v>32180</v>
      </c>
      <c r="O42" s="69">
        <v>15750</v>
      </c>
    </row>
    <row r="43" spans="8:15" x14ac:dyDescent="0.3">
      <c r="H43" s="66">
        <v>51</v>
      </c>
      <c r="I43" s="67" t="s">
        <v>471</v>
      </c>
      <c r="J43" s="67" t="s">
        <v>472</v>
      </c>
      <c r="K43" s="67" t="s">
        <v>361</v>
      </c>
      <c r="L43" s="67" t="s">
        <v>420</v>
      </c>
      <c r="M43" s="67" t="s">
        <v>440</v>
      </c>
      <c r="N43" s="68">
        <v>32436</v>
      </c>
      <c r="O43" s="69">
        <v>15750</v>
      </c>
    </row>
    <row r="44" spans="8:15" x14ac:dyDescent="0.3">
      <c r="H44" s="66">
        <v>52</v>
      </c>
      <c r="I44" s="67" t="s">
        <v>473</v>
      </c>
      <c r="J44" s="67" t="s">
        <v>474</v>
      </c>
      <c r="K44" s="67" t="s">
        <v>395</v>
      </c>
      <c r="L44" s="67" t="s">
        <v>420</v>
      </c>
      <c r="M44" s="67" t="s">
        <v>458</v>
      </c>
      <c r="N44" s="68">
        <v>32437</v>
      </c>
      <c r="O44" s="69">
        <v>19250</v>
      </c>
    </row>
    <row r="45" spans="8:15" x14ac:dyDescent="0.3">
      <c r="H45" s="66">
        <v>58</v>
      </c>
      <c r="I45" s="67" t="s">
        <v>475</v>
      </c>
      <c r="J45" s="67" t="s">
        <v>476</v>
      </c>
      <c r="K45" s="67" t="s">
        <v>365</v>
      </c>
      <c r="L45" s="67" t="s">
        <v>420</v>
      </c>
      <c r="M45" s="67" t="s">
        <v>434</v>
      </c>
      <c r="N45" s="68">
        <v>33182</v>
      </c>
      <c r="O45" s="69">
        <v>17500</v>
      </c>
    </row>
    <row r="46" spans="8:15" x14ac:dyDescent="0.3">
      <c r="H46" s="66">
        <v>61</v>
      </c>
      <c r="I46" s="67" t="s">
        <v>477</v>
      </c>
      <c r="J46" s="67" t="s">
        <v>478</v>
      </c>
      <c r="K46" s="67" t="s">
        <v>373</v>
      </c>
      <c r="L46" s="67" t="s">
        <v>420</v>
      </c>
      <c r="M46" s="67" t="s">
        <v>434</v>
      </c>
      <c r="N46" s="68">
        <v>32106</v>
      </c>
      <c r="O46" s="69">
        <v>19250</v>
      </c>
    </row>
    <row r="47" spans="8:15" x14ac:dyDescent="0.3">
      <c r="H47" s="66">
        <v>62</v>
      </c>
      <c r="I47" s="67" t="s">
        <v>479</v>
      </c>
      <c r="J47" s="67" t="s">
        <v>372</v>
      </c>
      <c r="K47" s="67" t="s">
        <v>361</v>
      </c>
      <c r="L47" s="67" t="s">
        <v>420</v>
      </c>
      <c r="M47" s="67" t="s">
        <v>427</v>
      </c>
      <c r="N47" s="68">
        <v>32107</v>
      </c>
      <c r="O47" s="69">
        <v>19251</v>
      </c>
    </row>
    <row r="48" spans="8:15" x14ac:dyDescent="0.3">
      <c r="H48" s="66">
        <v>63</v>
      </c>
      <c r="I48" s="67" t="s">
        <v>480</v>
      </c>
      <c r="J48" s="67" t="s">
        <v>481</v>
      </c>
      <c r="K48" s="67" t="s">
        <v>389</v>
      </c>
      <c r="L48" s="67" t="s">
        <v>420</v>
      </c>
      <c r="M48" s="67" t="s">
        <v>440</v>
      </c>
      <c r="N48" s="68">
        <v>32440</v>
      </c>
      <c r="O48" s="69">
        <v>17500</v>
      </c>
    </row>
    <row r="49" spans="8:15" x14ac:dyDescent="0.3">
      <c r="H49" s="66">
        <v>66</v>
      </c>
      <c r="I49" s="67" t="s">
        <v>482</v>
      </c>
      <c r="J49" s="67" t="s">
        <v>483</v>
      </c>
      <c r="K49" s="67" t="s">
        <v>382</v>
      </c>
      <c r="L49" s="67" t="s">
        <v>420</v>
      </c>
      <c r="M49" s="67" t="s">
        <v>434</v>
      </c>
      <c r="N49" s="68">
        <v>32443</v>
      </c>
      <c r="O49" s="69">
        <v>17500</v>
      </c>
    </row>
    <row r="50" spans="8:15" x14ac:dyDescent="0.3">
      <c r="H50" s="66">
        <v>67</v>
      </c>
      <c r="I50" s="67" t="s">
        <v>484</v>
      </c>
      <c r="J50" s="67" t="s">
        <v>403</v>
      </c>
      <c r="K50" s="67" t="s">
        <v>382</v>
      </c>
      <c r="L50" s="67" t="s">
        <v>420</v>
      </c>
      <c r="M50" s="67" t="s">
        <v>458</v>
      </c>
      <c r="N50" s="68">
        <v>32444</v>
      </c>
      <c r="O50" s="69">
        <v>20125</v>
      </c>
    </row>
    <row r="51" spans="8:15" x14ac:dyDescent="0.3">
      <c r="H51" s="66">
        <v>68</v>
      </c>
      <c r="I51" s="67" t="s">
        <v>485</v>
      </c>
      <c r="J51" s="67" t="s">
        <v>401</v>
      </c>
      <c r="K51" s="67" t="s">
        <v>361</v>
      </c>
      <c r="L51" s="67" t="s">
        <v>420</v>
      </c>
      <c r="M51" s="67" t="s">
        <v>464</v>
      </c>
      <c r="N51" s="68">
        <v>35034</v>
      </c>
      <c r="O51" s="69">
        <v>14000</v>
      </c>
    </row>
    <row r="52" spans="8:15" x14ac:dyDescent="0.3">
      <c r="H52" s="66">
        <v>69</v>
      </c>
      <c r="I52" s="67" t="s">
        <v>486</v>
      </c>
      <c r="J52" s="67" t="s">
        <v>470</v>
      </c>
      <c r="K52" s="67" t="s">
        <v>382</v>
      </c>
      <c r="L52" s="67" t="s">
        <v>420</v>
      </c>
      <c r="M52" s="67" t="s">
        <v>464</v>
      </c>
      <c r="N52" s="68">
        <v>34761</v>
      </c>
      <c r="O52" s="69">
        <v>14000</v>
      </c>
    </row>
    <row r="53" spans="8:15" x14ac:dyDescent="0.3">
      <c r="H53" s="66">
        <v>73</v>
      </c>
      <c r="I53" s="67" t="s">
        <v>487</v>
      </c>
      <c r="J53" s="67" t="s">
        <v>488</v>
      </c>
      <c r="K53" s="67" t="s">
        <v>395</v>
      </c>
      <c r="L53" s="67" t="s">
        <v>420</v>
      </c>
      <c r="M53" s="67" t="s">
        <v>445</v>
      </c>
      <c r="N53" s="68">
        <v>32439</v>
      </c>
      <c r="O53" s="69">
        <v>17500</v>
      </c>
    </row>
    <row r="54" spans="8:15" x14ac:dyDescent="0.3">
      <c r="H54" s="66">
        <v>77</v>
      </c>
      <c r="I54" s="67" t="s">
        <v>489</v>
      </c>
      <c r="J54" s="67" t="s">
        <v>483</v>
      </c>
      <c r="K54" s="67" t="s">
        <v>389</v>
      </c>
      <c r="L54" s="67" t="s">
        <v>420</v>
      </c>
      <c r="M54" s="67" t="s">
        <v>383</v>
      </c>
      <c r="N54" s="68">
        <v>32443</v>
      </c>
      <c r="O54" s="69">
        <v>17500</v>
      </c>
    </row>
    <row r="55" spans="8:15" x14ac:dyDescent="0.3">
      <c r="H55" s="66">
        <v>79</v>
      </c>
      <c r="I55" s="67" t="s">
        <v>490</v>
      </c>
      <c r="J55" s="67" t="s">
        <v>491</v>
      </c>
      <c r="K55" s="67" t="s">
        <v>365</v>
      </c>
      <c r="L55" s="67" t="s">
        <v>420</v>
      </c>
      <c r="M55" s="67" t="s">
        <v>383</v>
      </c>
      <c r="N55" s="68">
        <v>32445</v>
      </c>
      <c r="O55" s="69">
        <v>17500</v>
      </c>
    </row>
    <row r="56" spans="8:15" x14ac:dyDescent="0.3">
      <c r="H56" s="66">
        <v>80</v>
      </c>
      <c r="I56" s="67" t="s">
        <v>492</v>
      </c>
      <c r="J56" s="67" t="s">
        <v>493</v>
      </c>
      <c r="K56" s="67" t="s">
        <v>365</v>
      </c>
      <c r="L56" s="67" t="s">
        <v>420</v>
      </c>
      <c r="M56" s="67" t="s">
        <v>421</v>
      </c>
      <c r="N56" s="68">
        <v>32446</v>
      </c>
      <c r="O56" s="69">
        <v>17500</v>
      </c>
    </row>
    <row r="57" spans="8:15" x14ac:dyDescent="0.3">
      <c r="H57" s="66">
        <v>83</v>
      </c>
      <c r="I57" s="67" t="s">
        <v>494</v>
      </c>
      <c r="J57" s="67" t="s">
        <v>483</v>
      </c>
      <c r="K57" s="67" t="s">
        <v>395</v>
      </c>
      <c r="L57" s="67" t="s">
        <v>420</v>
      </c>
      <c r="M57" s="67" t="s">
        <v>461</v>
      </c>
      <c r="N57" s="68">
        <v>36221</v>
      </c>
      <c r="O57" s="69">
        <v>7000</v>
      </c>
    </row>
    <row r="58" spans="8:15" x14ac:dyDescent="0.3">
      <c r="H58" s="66">
        <v>85</v>
      </c>
      <c r="I58" s="67" t="s">
        <v>495</v>
      </c>
      <c r="J58" s="67" t="s">
        <v>496</v>
      </c>
      <c r="K58" s="67" t="s">
        <v>389</v>
      </c>
      <c r="L58" s="67" t="s">
        <v>420</v>
      </c>
      <c r="M58" s="67" t="s">
        <v>434</v>
      </c>
      <c r="N58" s="68">
        <v>35809</v>
      </c>
      <c r="O58" s="69">
        <v>7000</v>
      </c>
    </row>
    <row r="59" spans="8:15" x14ac:dyDescent="0.3">
      <c r="H59" s="66">
        <v>86</v>
      </c>
      <c r="I59" s="67" t="s">
        <v>497</v>
      </c>
      <c r="J59" s="67" t="s">
        <v>375</v>
      </c>
      <c r="K59" s="67" t="s">
        <v>395</v>
      </c>
      <c r="L59" s="67" t="s">
        <v>420</v>
      </c>
      <c r="M59" s="67" t="s">
        <v>440</v>
      </c>
      <c r="N59" s="68">
        <v>35810</v>
      </c>
      <c r="O59" s="69">
        <v>17500</v>
      </c>
    </row>
    <row r="60" spans="8:15" x14ac:dyDescent="0.3">
      <c r="H60" s="66">
        <v>89</v>
      </c>
      <c r="I60" s="67" t="s">
        <v>498</v>
      </c>
      <c r="J60" s="67" t="s">
        <v>499</v>
      </c>
      <c r="K60" s="67" t="s">
        <v>361</v>
      </c>
      <c r="L60" s="67" t="s">
        <v>420</v>
      </c>
      <c r="M60" s="67" t="s">
        <v>461</v>
      </c>
      <c r="N60" s="68">
        <v>28907</v>
      </c>
      <c r="O60" s="69">
        <v>22750</v>
      </c>
    </row>
    <row r="61" spans="8:15" x14ac:dyDescent="0.3">
      <c r="H61" s="66">
        <v>90</v>
      </c>
      <c r="I61" s="67" t="s">
        <v>500</v>
      </c>
      <c r="J61" s="67" t="s">
        <v>466</v>
      </c>
      <c r="K61" s="67" t="s">
        <v>389</v>
      </c>
      <c r="L61" s="67" t="s">
        <v>420</v>
      </c>
      <c r="M61" s="67" t="s">
        <v>445</v>
      </c>
      <c r="N61" s="68">
        <v>29226</v>
      </c>
      <c r="O61" s="69">
        <v>22750</v>
      </c>
    </row>
    <row r="62" spans="8:15" x14ac:dyDescent="0.3">
      <c r="H62" s="66">
        <v>98</v>
      </c>
      <c r="I62" s="67" t="s">
        <v>501</v>
      </c>
      <c r="J62" s="67" t="s">
        <v>502</v>
      </c>
      <c r="K62" s="67" t="s">
        <v>395</v>
      </c>
      <c r="L62" s="67" t="s">
        <v>420</v>
      </c>
      <c r="M62" s="67" t="s">
        <v>383</v>
      </c>
      <c r="N62" s="68">
        <v>32609</v>
      </c>
      <c r="O62" s="69">
        <v>17325</v>
      </c>
    </row>
    <row r="63" spans="8:15" x14ac:dyDescent="0.3">
      <c r="H63" s="66">
        <v>3</v>
      </c>
      <c r="I63" s="67" t="s">
        <v>503</v>
      </c>
      <c r="J63" s="67" t="s">
        <v>323</v>
      </c>
      <c r="K63" s="67" t="s">
        <v>373</v>
      </c>
      <c r="L63" s="67" t="s">
        <v>504</v>
      </c>
      <c r="M63" s="67" t="s">
        <v>505</v>
      </c>
      <c r="N63" s="68">
        <v>36220</v>
      </c>
      <c r="O63" s="69">
        <v>7000</v>
      </c>
    </row>
    <row r="64" spans="8:15" x14ac:dyDescent="0.3">
      <c r="H64" s="66">
        <v>14</v>
      </c>
      <c r="I64" s="67" t="s">
        <v>462</v>
      </c>
      <c r="J64" s="67" t="s">
        <v>401</v>
      </c>
      <c r="K64" s="67" t="s">
        <v>506</v>
      </c>
      <c r="L64" s="67" t="s">
        <v>504</v>
      </c>
      <c r="M64" s="67" t="s">
        <v>507</v>
      </c>
      <c r="N64" s="68">
        <v>31028</v>
      </c>
      <c r="O64" s="69">
        <v>49000</v>
      </c>
    </row>
    <row r="65" spans="8:15" x14ac:dyDescent="0.3">
      <c r="H65" s="66">
        <v>25</v>
      </c>
      <c r="I65" s="67" t="s">
        <v>508</v>
      </c>
      <c r="J65" s="67" t="s">
        <v>509</v>
      </c>
      <c r="K65" s="67" t="s">
        <v>389</v>
      </c>
      <c r="L65" s="67" t="s">
        <v>504</v>
      </c>
      <c r="M65" s="67" t="s">
        <v>510</v>
      </c>
      <c r="N65" s="68">
        <v>36274</v>
      </c>
      <c r="O65" s="69">
        <v>7875</v>
      </c>
    </row>
    <row r="66" spans="8:15" x14ac:dyDescent="0.3">
      <c r="H66" s="66">
        <v>27</v>
      </c>
      <c r="I66" s="67" t="s">
        <v>511</v>
      </c>
      <c r="J66" s="67" t="s">
        <v>512</v>
      </c>
      <c r="K66" s="67" t="s">
        <v>361</v>
      </c>
      <c r="L66" s="67" t="s">
        <v>504</v>
      </c>
      <c r="M66" s="67" t="s">
        <v>513</v>
      </c>
      <c r="N66" s="68">
        <v>33787</v>
      </c>
      <c r="O66" s="69">
        <v>13125</v>
      </c>
    </row>
    <row r="67" spans="8:15" x14ac:dyDescent="0.3">
      <c r="H67" s="66">
        <v>32</v>
      </c>
      <c r="I67" s="67" t="s">
        <v>514</v>
      </c>
      <c r="J67" s="67" t="s">
        <v>470</v>
      </c>
      <c r="K67" s="67" t="s">
        <v>395</v>
      </c>
      <c r="L67" s="67" t="s">
        <v>504</v>
      </c>
      <c r="M67" s="67" t="s">
        <v>510</v>
      </c>
      <c r="N67" s="68">
        <v>30225</v>
      </c>
      <c r="O67" s="69">
        <v>15750</v>
      </c>
    </row>
    <row r="68" spans="8:15" x14ac:dyDescent="0.3">
      <c r="H68" s="66">
        <v>35</v>
      </c>
      <c r="I68" s="67" t="s">
        <v>515</v>
      </c>
      <c r="J68" s="67" t="s">
        <v>470</v>
      </c>
      <c r="K68" s="67" t="s">
        <v>365</v>
      </c>
      <c r="L68" s="67" t="s">
        <v>504</v>
      </c>
      <c r="M68" s="67" t="s">
        <v>510</v>
      </c>
      <c r="N68" s="68">
        <v>33729</v>
      </c>
      <c r="O68" s="69">
        <v>9275</v>
      </c>
    </row>
    <row r="69" spans="8:15" x14ac:dyDescent="0.3">
      <c r="H69" s="66">
        <v>37</v>
      </c>
      <c r="I69" s="67" t="s">
        <v>438</v>
      </c>
      <c r="J69" s="67" t="s">
        <v>516</v>
      </c>
      <c r="K69" s="67" t="s">
        <v>369</v>
      </c>
      <c r="L69" s="67" t="s">
        <v>504</v>
      </c>
      <c r="M69" s="67" t="s">
        <v>517</v>
      </c>
      <c r="N69" s="68">
        <v>30225</v>
      </c>
      <c r="O69" s="69">
        <v>24500</v>
      </c>
    </row>
    <row r="70" spans="8:15" x14ac:dyDescent="0.3">
      <c r="H70" s="66">
        <v>40</v>
      </c>
      <c r="I70" s="67" t="s">
        <v>518</v>
      </c>
      <c r="J70" s="67" t="s">
        <v>519</v>
      </c>
      <c r="K70" s="67" t="s">
        <v>361</v>
      </c>
      <c r="L70" s="67" t="s">
        <v>504</v>
      </c>
      <c r="M70" s="67" t="s">
        <v>510</v>
      </c>
      <c r="N70" s="68">
        <v>33510</v>
      </c>
      <c r="O70" s="69">
        <v>10500</v>
      </c>
    </row>
    <row r="71" spans="8:15" x14ac:dyDescent="0.3">
      <c r="H71" s="66">
        <v>49</v>
      </c>
      <c r="I71" s="67" t="s">
        <v>520</v>
      </c>
      <c r="J71" s="67" t="s">
        <v>521</v>
      </c>
      <c r="K71" s="67" t="s">
        <v>395</v>
      </c>
      <c r="L71" s="67" t="s">
        <v>504</v>
      </c>
      <c r="M71" s="67" t="s">
        <v>507</v>
      </c>
      <c r="N71" s="68">
        <v>32435</v>
      </c>
      <c r="O71" s="69">
        <v>15750</v>
      </c>
    </row>
    <row r="72" spans="8:15" x14ac:dyDescent="0.3">
      <c r="H72" s="66">
        <v>57</v>
      </c>
      <c r="I72" s="67" t="s">
        <v>522</v>
      </c>
      <c r="J72" s="67" t="s">
        <v>523</v>
      </c>
      <c r="K72" s="67" t="s">
        <v>361</v>
      </c>
      <c r="L72" s="67" t="s">
        <v>504</v>
      </c>
      <c r="M72" s="67" t="s">
        <v>524</v>
      </c>
      <c r="N72" s="68">
        <v>34098</v>
      </c>
      <c r="O72" s="69">
        <v>14875</v>
      </c>
    </row>
    <row r="73" spans="8:15" x14ac:dyDescent="0.3">
      <c r="H73" s="66">
        <v>59</v>
      </c>
      <c r="I73" s="67" t="s">
        <v>525</v>
      </c>
      <c r="J73" s="67" t="s">
        <v>526</v>
      </c>
      <c r="K73" s="67" t="s">
        <v>373</v>
      </c>
      <c r="L73" s="67" t="s">
        <v>504</v>
      </c>
      <c r="M73" s="67" t="s">
        <v>513</v>
      </c>
      <c r="N73" s="68">
        <v>31791</v>
      </c>
      <c r="O73" s="69">
        <v>19250</v>
      </c>
    </row>
    <row r="74" spans="8:15" x14ac:dyDescent="0.3">
      <c r="H74" s="66">
        <v>60</v>
      </c>
      <c r="I74" s="67" t="s">
        <v>527</v>
      </c>
      <c r="J74" s="67" t="s">
        <v>528</v>
      </c>
      <c r="K74" s="67" t="s">
        <v>365</v>
      </c>
      <c r="L74" s="67" t="s">
        <v>504</v>
      </c>
      <c r="M74" s="67" t="s">
        <v>529</v>
      </c>
      <c r="N74" s="68">
        <v>32105</v>
      </c>
      <c r="O74" s="69">
        <v>19250</v>
      </c>
    </row>
    <row r="75" spans="8:15" x14ac:dyDescent="0.3">
      <c r="H75" s="66">
        <v>64</v>
      </c>
      <c r="I75" s="67" t="s">
        <v>530</v>
      </c>
      <c r="J75" s="67" t="s">
        <v>531</v>
      </c>
      <c r="K75" s="67" t="s">
        <v>382</v>
      </c>
      <c r="L75" s="67" t="s">
        <v>504</v>
      </c>
      <c r="M75" s="67" t="s">
        <v>505</v>
      </c>
      <c r="N75" s="68">
        <v>32441</v>
      </c>
      <c r="O75" s="69">
        <v>17500</v>
      </c>
    </row>
    <row r="76" spans="8:15" x14ac:dyDescent="0.3">
      <c r="H76" s="66">
        <v>72</v>
      </c>
      <c r="I76" s="67" t="s">
        <v>532</v>
      </c>
      <c r="J76" s="67" t="s">
        <v>453</v>
      </c>
      <c r="K76" s="67" t="s">
        <v>389</v>
      </c>
      <c r="L76" s="67" t="s">
        <v>504</v>
      </c>
      <c r="M76" s="67" t="s">
        <v>517</v>
      </c>
      <c r="N76" s="68">
        <v>32438</v>
      </c>
      <c r="O76" s="69">
        <v>17500</v>
      </c>
    </row>
    <row r="77" spans="8:15" x14ac:dyDescent="0.3">
      <c r="H77" s="66">
        <v>81</v>
      </c>
      <c r="I77" s="67" t="s">
        <v>533</v>
      </c>
      <c r="J77" s="67" t="s">
        <v>534</v>
      </c>
      <c r="K77" s="67" t="s">
        <v>395</v>
      </c>
      <c r="L77" s="67" t="s">
        <v>504</v>
      </c>
      <c r="M77" s="67" t="s">
        <v>524</v>
      </c>
      <c r="N77" s="68">
        <v>32447</v>
      </c>
      <c r="O77" s="69">
        <v>17500</v>
      </c>
    </row>
    <row r="78" spans="8:15" x14ac:dyDescent="0.3">
      <c r="H78" s="66">
        <v>87</v>
      </c>
      <c r="I78" s="67" t="s">
        <v>535</v>
      </c>
      <c r="J78" s="67" t="s">
        <v>536</v>
      </c>
      <c r="K78" s="67" t="s">
        <v>365</v>
      </c>
      <c r="L78" s="67" t="s">
        <v>504</v>
      </c>
      <c r="M78" s="67" t="s">
        <v>505</v>
      </c>
      <c r="N78" s="68">
        <v>35811</v>
      </c>
      <c r="O78" s="69">
        <v>17500</v>
      </c>
    </row>
    <row r="79" spans="8:15" x14ac:dyDescent="0.3">
      <c r="H79" s="66">
        <v>93</v>
      </c>
      <c r="I79" s="67" t="s">
        <v>537</v>
      </c>
      <c r="J79" s="67" t="s">
        <v>372</v>
      </c>
      <c r="K79" s="67" t="s">
        <v>361</v>
      </c>
      <c r="L79" s="67" t="s">
        <v>504</v>
      </c>
      <c r="M79" s="67" t="s">
        <v>513</v>
      </c>
      <c r="N79" s="68">
        <v>32604</v>
      </c>
      <c r="O79" s="69">
        <v>17325</v>
      </c>
    </row>
    <row r="80" spans="8:15" x14ac:dyDescent="0.3">
      <c r="H80" s="66">
        <v>95</v>
      </c>
      <c r="I80" s="67" t="s">
        <v>538</v>
      </c>
      <c r="J80" s="67" t="s">
        <v>457</v>
      </c>
      <c r="K80" s="67" t="s">
        <v>365</v>
      </c>
      <c r="L80" s="67" t="s">
        <v>504</v>
      </c>
      <c r="M80" s="67" t="s">
        <v>513</v>
      </c>
      <c r="N80" s="68">
        <v>32606</v>
      </c>
      <c r="O80" s="69">
        <v>17325</v>
      </c>
    </row>
    <row r="81" spans="8:15" x14ac:dyDescent="0.3">
      <c r="H81" s="66">
        <v>97</v>
      </c>
      <c r="I81" s="67" t="s">
        <v>539</v>
      </c>
      <c r="J81" s="67" t="s">
        <v>540</v>
      </c>
      <c r="K81" s="67" t="s">
        <v>389</v>
      </c>
      <c r="L81" s="67" t="s">
        <v>504</v>
      </c>
      <c r="M81" s="67" t="s">
        <v>529</v>
      </c>
      <c r="N81" s="68">
        <v>32608</v>
      </c>
      <c r="O81" s="69">
        <v>17325</v>
      </c>
    </row>
    <row r="82" spans="8:15" x14ac:dyDescent="0.3">
      <c r="H82" s="66">
        <v>100</v>
      </c>
      <c r="I82" s="67" t="s">
        <v>541</v>
      </c>
      <c r="J82" s="67" t="s">
        <v>542</v>
      </c>
      <c r="K82" s="67" t="s">
        <v>369</v>
      </c>
      <c r="L82" s="67" t="s">
        <v>504</v>
      </c>
      <c r="M82" s="67" t="s">
        <v>505</v>
      </c>
      <c r="N82" s="68">
        <v>36193</v>
      </c>
      <c r="O82" s="69">
        <v>7875</v>
      </c>
    </row>
    <row r="83" spans="8:15" x14ac:dyDescent="0.3">
      <c r="H83" s="66">
        <v>7</v>
      </c>
      <c r="I83" s="67" t="s">
        <v>543</v>
      </c>
      <c r="J83" s="67" t="s">
        <v>544</v>
      </c>
      <c r="K83" s="67" t="s">
        <v>382</v>
      </c>
      <c r="L83" s="67" t="s">
        <v>545</v>
      </c>
      <c r="M83" s="67" t="s">
        <v>546</v>
      </c>
      <c r="N83" s="68">
        <v>33102</v>
      </c>
      <c r="O83" s="69">
        <v>12425</v>
      </c>
    </row>
    <row r="84" spans="8:15" x14ac:dyDescent="0.3">
      <c r="H84" s="66">
        <v>11</v>
      </c>
      <c r="I84" s="67" t="s">
        <v>547</v>
      </c>
      <c r="J84" s="67" t="s">
        <v>548</v>
      </c>
      <c r="K84" s="67" t="s">
        <v>369</v>
      </c>
      <c r="L84" s="67" t="s">
        <v>545</v>
      </c>
      <c r="M84" s="67" t="s">
        <v>546</v>
      </c>
      <c r="N84" s="68">
        <v>31402</v>
      </c>
      <c r="O84" s="69">
        <v>14875</v>
      </c>
    </row>
    <row r="85" spans="8:15" x14ac:dyDescent="0.3">
      <c r="H85" s="66">
        <v>18</v>
      </c>
      <c r="I85" s="67" t="s">
        <v>549</v>
      </c>
      <c r="J85" s="67" t="s">
        <v>550</v>
      </c>
      <c r="K85" s="67" t="s">
        <v>373</v>
      </c>
      <c r="L85" s="67" t="s">
        <v>545</v>
      </c>
      <c r="M85" s="67" t="s">
        <v>551</v>
      </c>
      <c r="N85" s="68">
        <v>30376</v>
      </c>
      <c r="O85" s="69">
        <v>15750</v>
      </c>
    </row>
    <row r="86" spans="8:15" x14ac:dyDescent="0.3">
      <c r="H86" s="66">
        <v>22</v>
      </c>
      <c r="I86" s="67" t="s">
        <v>552</v>
      </c>
      <c r="J86" s="67" t="s">
        <v>476</v>
      </c>
      <c r="K86" s="67" t="s">
        <v>365</v>
      </c>
      <c r="L86" s="67" t="s">
        <v>545</v>
      </c>
      <c r="M86" s="67" t="s">
        <v>551</v>
      </c>
      <c r="N86" s="68">
        <v>36318</v>
      </c>
      <c r="O86" s="69">
        <v>7875</v>
      </c>
    </row>
    <row r="87" spans="8:15" x14ac:dyDescent="0.3">
      <c r="H87" s="66">
        <v>23</v>
      </c>
      <c r="I87" s="67" t="s">
        <v>553</v>
      </c>
      <c r="J87" s="67" t="s">
        <v>481</v>
      </c>
      <c r="K87" s="67" t="s">
        <v>365</v>
      </c>
      <c r="L87" s="67" t="s">
        <v>545</v>
      </c>
      <c r="M87" s="67" t="s">
        <v>546</v>
      </c>
      <c r="N87" s="68">
        <v>36319</v>
      </c>
      <c r="O87" s="69">
        <v>7875</v>
      </c>
    </row>
    <row r="88" spans="8:15" x14ac:dyDescent="0.3">
      <c r="H88" s="66">
        <v>24</v>
      </c>
      <c r="I88" s="67" t="s">
        <v>387</v>
      </c>
      <c r="J88" s="67" t="s">
        <v>554</v>
      </c>
      <c r="K88" s="67" t="s">
        <v>361</v>
      </c>
      <c r="L88" s="67" t="s">
        <v>545</v>
      </c>
      <c r="M88" s="67" t="s">
        <v>551</v>
      </c>
      <c r="N88" s="68">
        <v>29362</v>
      </c>
      <c r="O88" s="69">
        <v>14875</v>
      </c>
    </row>
    <row r="89" spans="8:15" x14ac:dyDescent="0.3">
      <c r="H89" s="66">
        <v>28</v>
      </c>
      <c r="I89" s="67" t="s">
        <v>555</v>
      </c>
      <c r="J89" s="67" t="s">
        <v>556</v>
      </c>
      <c r="K89" s="67" t="s">
        <v>389</v>
      </c>
      <c r="L89" s="67" t="s">
        <v>545</v>
      </c>
      <c r="M89" s="67" t="s">
        <v>557</v>
      </c>
      <c r="N89" s="68">
        <v>34777</v>
      </c>
      <c r="O89" s="69">
        <v>10500</v>
      </c>
    </row>
    <row r="90" spans="8:15" x14ac:dyDescent="0.3">
      <c r="H90" s="66">
        <v>36</v>
      </c>
      <c r="I90" s="67" t="s">
        <v>387</v>
      </c>
      <c r="J90" s="67" t="s">
        <v>558</v>
      </c>
      <c r="K90" s="67" t="s">
        <v>382</v>
      </c>
      <c r="L90" s="67" t="s">
        <v>545</v>
      </c>
      <c r="M90" s="67" t="s">
        <v>559</v>
      </c>
      <c r="N90" s="68">
        <v>34580</v>
      </c>
      <c r="O90" s="69">
        <v>11725</v>
      </c>
    </row>
    <row r="91" spans="8:15" x14ac:dyDescent="0.3">
      <c r="H91" s="66">
        <v>43</v>
      </c>
      <c r="I91" s="67" t="s">
        <v>560</v>
      </c>
      <c r="J91" s="67" t="s">
        <v>523</v>
      </c>
      <c r="K91" s="67" t="s">
        <v>382</v>
      </c>
      <c r="L91" s="67" t="s">
        <v>545</v>
      </c>
      <c r="M91" s="67" t="s">
        <v>557</v>
      </c>
      <c r="N91" s="68">
        <v>32435</v>
      </c>
      <c r="O91" s="69">
        <v>15750</v>
      </c>
    </row>
    <row r="92" spans="8:15" x14ac:dyDescent="0.3">
      <c r="H92" s="66">
        <v>48</v>
      </c>
      <c r="I92" s="67" t="s">
        <v>561</v>
      </c>
      <c r="J92" s="67" t="s">
        <v>470</v>
      </c>
      <c r="K92" s="67" t="s">
        <v>395</v>
      </c>
      <c r="L92" s="67" t="s">
        <v>545</v>
      </c>
      <c r="M92" s="67" t="s">
        <v>562</v>
      </c>
      <c r="N92" s="68">
        <v>32435</v>
      </c>
      <c r="O92" s="69">
        <v>15750</v>
      </c>
    </row>
    <row r="93" spans="8:15" x14ac:dyDescent="0.3">
      <c r="H93" s="66">
        <v>50</v>
      </c>
      <c r="I93" s="67" t="s">
        <v>563</v>
      </c>
      <c r="J93" s="67" t="s">
        <v>468</v>
      </c>
      <c r="K93" s="67" t="s">
        <v>382</v>
      </c>
      <c r="L93" s="67" t="s">
        <v>545</v>
      </c>
      <c r="M93" s="67" t="s">
        <v>562</v>
      </c>
      <c r="N93" s="68">
        <v>32435</v>
      </c>
      <c r="O93" s="69">
        <v>15750</v>
      </c>
    </row>
    <row r="94" spans="8:15" x14ac:dyDescent="0.3">
      <c r="H94" s="66">
        <v>53</v>
      </c>
      <c r="I94" s="67" t="s">
        <v>564</v>
      </c>
      <c r="J94" s="67" t="s">
        <v>565</v>
      </c>
      <c r="K94" s="67" t="s">
        <v>395</v>
      </c>
      <c r="L94" s="67" t="s">
        <v>545</v>
      </c>
      <c r="M94" s="67" t="s">
        <v>566</v>
      </c>
      <c r="N94" s="68">
        <v>35034</v>
      </c>
      <c r="O94" s="69">
        <v>15750</v>
      </c>
    </row>
    <row r="95" spans="8:15" x14ac:dyDescent="0.3">
      <c r="H95" s="66">
        <v>56</v>
      </c>
      <c r="I95" s="67" t="s">
        <v>567</v>
      </c>
      <c r="J95" s="67" t="s">
        <v>568</v>
      </c>
      <c r="K95" s="67" t="s">
        <v>361</v>
      </c>
      <c r="L95" s="67" t="s">
        <v>545</v>
      </c>
      <c r="M95" s="67" t="s">
        <v>566</v>
      </c>
      <c r="N95" s="68">
        <v>33878</v>
      </c>
      <c r="O95" s="69">
        <v>14875</v>
      </c>
    </row>
    <row r="96" spans="8:15" x14ac:dyDescent="0.3">
      <c r="H96" s="66">
        <v>71</v>
      </c>
      <c r="I96" s="67" t="s">
        <v>569</v>
      </c>
      <c r="J96" s="67" t="s">
        <v>570</v>
      </c>
      <c r="K96" s="67" t="s">
        <v>389</v>
      </c>
      <c r="L96" s="67" t="s">
        <v>545</v>
      </c>
      <c r="M96" s="67" t="s">
        <v>571</v>
      </c>
      <c r="N96" s="68">
        <v>34763</v>
      </c>
      <c r="O96" s="69">
        <v>14000</v>
      </c>
    </row>
    <row r="97" spans="8:15" x14ac:dyDescent="0.3">
      <c r="H97" s="66">
        <v>76</v>
      </c>
      <c r="I97" s="67" t="s">
        <v>572</v>
      </c>
      <c r="J97" s="67" t="s">
        <v>392</v>
      </c>
      <c r="K97" s="67" t="s">
        <v>395</v>
      </c>
      <c r="L97" s="67" t="s">
        <v>545</v>
      </c>
      <c r="M97" s="67" t="s">
        <v>571</v>
      </c>
      <c r="N97" s="68">
        <v>32442</v>
      </c>
      <c r="O97" s="69">
        <v>17500</v>
      </c>
    </row>
    <row r="98" spans="8:15" x14ac:dyDescent="0.3">
      <c r="H98" s="66">
        <v>78</v>
      </c>
      <c r="I98" s="67" t="s">
        <v>573</v>
      </c>
      <c r="J98" s="67" t="s">
        <v>574</v>
      </c>
      <c r="K98" s="67" t="s">
        <v>361</v>
      </c>
      <c r="L98" s="67" t="s">
        <v>545</v>
      </c>
      <c r="M98" s="67" t="s">
        <v>557</v>
      </c>
      <c r="N98" s="68">
        <v>32444</v>
      </c>
      <c r="O98" s="69">
        <v>17500</v>
      </c>
    </row>
    <row r="99" spans="8:15" x14ac:dyDescent="0.3">
      <c r="H99" s="66">
        <v>88</v>
      </c>
      <c r="I99" s="67" t="s">
        <v>575</v>
      </c>
      <c r="J99" s="67" t="s">
        <v>576</v>
      </c>
      <c r="K99" s="67" t="s">
        <v>365</v>
      </c>
      <c r="L99" s="67" t="s">
        <v>545</v>
      </c>
      <c r="M99" s="67" t="s">
        <v>546</v>
      </c>
      <c r="N99" s="68">
        <v>35794</v>
      </c>
      <c r="O99" s="69">
        <v>7875</v>
      </c>
    </row>
    <row r="100" spans="8:15" x14ac:dyDescent="0.3">
      <c r="H100" s="66">
        <v>94</v>
      </c>
      <c r="I100" s="67" t="s">
        <v>577</v>
      </c>
      <c r="J100" s="67" t="s">
        <v>578</v>
      </c>
      <c r="K100" s="67" t="s">
        <v>365</v>
      </c>
      <c r="L100" s="67" t="s">
        <v>545</v>
      </c>
      <c r="M100" s="67" t="s">
        <v>559</v>
      </c>
      <c r="N100" s="68">
        <v>32605</v>
      </c>
      <c r="O100" s="69">
        <v>17325</v>
      </c>
    </row>
    <row r="101" spans="8:15" x14ac:dyDescent="0.3">
      <c r="H101" s="66">
        <v>96</v>
      </c>
      <c r="I101" s="67" t="s">
        <v>423</v>
      </c>
      <c r="J101" s="67" t="s">
        <v>323</v>
      </c>
      <c r="K101" s="67" t="s">
        <v>389</v>
      </c>
      <c r="L101" s="67" t="s">
        <v>545</v>
      </c>
      <c r="M101" s="67" t="s">
        <v>566</v>
      </c>
      <c r="N101" s="68">
        <v>32607</v>
      </c>
      <c r="O101" s="69">
        <v>17325</v>
      </c>
    </row>
    <row r="102" spans="8:15" x14ac:dyDescent="0.3">
      <c r="H102" s="66">
        <v>99</v>
      </c>
      <c r="I102" s="67" t="s">
        <v>579</v>
      </c>
      <c r="J102" s="67" t="s">
        <v>483</v>
      </c>
      <c r="K102" s="67" t="s">
        <v>369</v>
      </c>
      <c r="L102" s="67" t="s">
        <v>545</v>
      </c>
      <c r="M102" s="67" t="s">
        <v>557</v>
      </c>
      <c r="N102" s="68">
        <v>35794</v>
      </c>
      <c r="O102" s="69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4">
        <v>43</v>
      </c>
      <c r="B1" s="1" t="s">
        <v>580</v>
      </c>
    </row>
    <row r="2" spans="1:3" x14ac:dyDescent="0.3">
      <c r="A2" s="35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e" vm="1">
        <f ca="1">_xlfn.TEXTBEFORE(B4,",",2)</f>
        <v>#NAME?</v>
      </c>
    </row>
    <row r="5" spans="1:3" x14ac:dyDescent="0.3">
      <c r="B5" s="4" t="s">
        <v>337</v>
      </c>
      <c r="C5" s="4" t="e" vm="1">
        <f ca="1">_xlfn.TEXTBEFORE(B5,",",2)</f>
        <v>#NAME?</v>
      </c>
    </row>
    <row r="6" spans="1:3" x14ac:dyDescent="0.3">
      <c r="B6" s="4" t="s">
        <v>338</v>
      </c>
      <c r="C6" s="4" t="e" vm="1">
        <f ca="1">_xlfn.TEXTBEFORE(B6,",",2)</f>
        <v>#NAME?</v>
      </c>
    </row>
    <row r="7" spans="1:3" x14ac:dyDescent="0.3">
      <c r="B7" s="4" t="s">
        <v>339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4">
        <v>44</v>
      </c>
      <c r="B1" s="1" t="s">
        <v>581</v>
      </c>
    </row>
    <row r="2" spans="1:3" x14ac:dyDescent="0.3">
      <c r="A2" s="35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e" vm="1">
        <f ca="1">_xlfn.TEXTAFTER(B4,",",2)</f>
        <v>#NAME?</v>
      </c>
    </row>
    <row r="5" spans="1:3" x14ac:dyDescent="0.3">
      <c r="B5" s="4" t="s">
        <v>337</v>
      </c>
      <c r="C5" s="4" t="e" vm="1">
        <f ca="1">_xlfn.TEXTAFTER(B5,",",2)</f>
        <v>#NAME?</v>
      </c>
    </row>
    <row r="6" spans="1:3" x14ac:dyDescent="0.3">
      <c r="B6" s="4" t="s">
        <v>338</v>
      </c>
      <c r="C6" s="4" t="e" vm="1">
        <f ca="1">_xlfn.TEXTAFTER(B6,",",2)</f>
        <v>#NAME?</v>
      </c>
    </row>
    <row r="7" spans="1:3" x14ac:dyDescent="0.3">
      <c r="B7" s="4" t="s">
        <v>339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4">
        <v>45</v>
      </c>
      <c r="B1" s="1" t="s">
        <v>582</v>
      </c>
    </row>
    <row r="2" spans="1:2" x14ac:dyDescent="0.3">
      <c r="A2" s="35" t="s">
        <v>2</v>
      </c>
    </row>
    <row r="3" spans="1:2" x14ac:dyDescent="0.3">
      <c r="B3" s="3" t="s">
        <v>318</v>
      </c>
    </row>
    <row r="4" spans="1:2" x14ac:dyDescent="0.3">
      <c r="B4" s="4" t="s">
        <v>583</v>
      </c>
    </row>
    <row r="5" spans="1:2" x14ac:dyDescent="0.3">
      <c r="B5" s="4" t="s">
        <v>584</v>
      </c>
    </row>
    <row r="6" spans="1:2" x14ac:dyDescent="0.3">
      <c r="B6" s="4" t="s">
        <v>585</v>
      </c>
    </row>
    <row r="7" spans="1:2" x14ac:dyDescent="0.3">
      <c r="B7" s="20" t="s">
        <v>586</v>
      </c>
    </row>
    <row r="8" spans="1:2" x14ac:dyDescent="0.3">
      <c r="B8" s="37" t="s">
        <v>587</v>
      </c>
    </row>
    <row r="9" spans="1:2" x14ac:dyDescent="0.3">
      <c r="B9" s="5" t="s">
        <v>588</v>
      </c>
    </row>
    <row r="10" spans="1:2" x14ac:dyDescent="0.3">
      <c r="B10" s="4" t="s">
        <v>589</v>
      </c>
    </row>
    <row r="11" spans="1:2" x14ac:dyDescent="0.3">
      <c r="B11" s="4" t="s">
        <v>586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4">
        <v>46</v>
      </c>
      <c r="B1" s="1" t="s">
        <v>590</v>
      </c>
    </row>
    <row r="2" spans="1:7" x14ac:dyDescent="0.3">
      <c r="A2" s="35" t="s">
        <v>2</v>
      </c>
    </row>
    <row r="3" spans="1:7" x14ac:dyDescent="0.3">
      <c r="B3" s="3" t="s">
        <v>591</v>
      </c>
      <c r="C3" s="40" t="s">
        <v>85</v>
      </c>
      <c r="D3" s="40" t="s">
        <v>86</v>
      </c>
      <c r="E3" s="40" t="s">
        <v>87</v>
      </c>
    </row>
    <row r="4" spans="1:7" x14ac:dyDescent="0.3">
      <c r="B4" s="21" t="s">
        <v>90</v>
      </c>
      <c r="C4" s="37">
        <v>15800</v>
      </c>
      <c r="D4" s="37">
        <v>42000</v>
      </c>
      <c r="E4" s="37">
        <v>26700</v>
      </c>
    </row>
    <row r="5" spans="1:7" x14ac:dyDescent="0.3">
      <c r="B5" s="21" t="s">
        <v>92</v>
      </c>
      <c r="C5" s="37">
        <v>19300</v>
      </c>
      <c r="D5" s="37">
        <v>9800</v>
      </c>
      <c r="E5" s="37">
        <v>7400</v>
      </c>
    </row>
    <row r="6" spans="1:7" x14ac:dyDescent="0.3">
      <c r="B6" s="21" t="s">
        <v>94</v>
      </c>
      <c r="C6" s="37">
        <v>8700</v>
      </c>
      <c r="D6" s="37">
        <v>10200</v>
      </c>
      <c r="E6" s="37">
        <v>28300</v>
      </c>
    </row>
    <row r="7" spans="1:7" x14ac:dyDescent="0.3">
      <c r="B7" s="21" t="s">
        <v>90</v>
      </c>
      <c r="C7" s="37">
        <v>31400</v>
      </c>
      <c r="D7" s="37">
        <v>24800</v>
      </c>
      <c r="E7" s="37">
        <v>21500</v>
      </c>
    </row>
    <row r="8" spans="1:7" x14ac:dyDescent="0.3">
      <c r="B8" s="21" t="s">
        <v>92</v>
      </c>
      <c r="C8" s="37">
        <v>22600</v>
      </c>
      <c r="D8" s="37">
        <v>7700</v>
      </c>
      <c r="E8" s="37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4">
        <v>47</v>
      </c>
      <c r="B1" s="1" t="s">
        <v>592</v>
      </c>
    </row>
    <row r="2" spans="1:6" x14ac:dyDescent="0.3">
      <c r="A2" s="35" t="s">
        <v>2</v>
      </c>
    </row>
    <row r="3" spans="1:6" x14ac:dyDescent="0.3">
      <c r="B3" s="3" t="s">
        <v>334</v>
      </c>
      <c r="C3" s="3"/>
      <c r="D3" s="3"/>
      <c r="E3" s="3"/>
    </row>
    <row r="4" spans="1:6" x14ac:dyDescent="0.3">
      <c r="B4" s="4">
        <v>110062</v>
      </c>
      <c r="C4" s="4" t="s">
        <v>464</v>
      </c>
      <c r="D4" s="4">
        <v>9999999999</v>
      </c>
      <c r="E4" s="4"/>
    </row>
    <row r="5" spans="1:6" x14ac:dyDescent="0.3">
      <c r="B5" s="4">
        <v>121102</v>
      </c>
      <c r="C5" s="4" t="s">
        <v>593</v>
      </c>
      <c r="D5" s="4">
        <v>4444444444</v>
      </c>
      <c r="E5" s="4"/>
    </row>
    <row r="7" spans="1:6" x14ac:dyDescent="0.3">
      <c r="B7" s="3" t="s">
        <v>334</v>
      </c>
      <c r="C7" s="3" t="s">
        <v>335</v>
      </c>
      <c r="D7" s="3" t="s">
        <v>379</v>
      </c>
      <c r="E7" s="3" t="s">
        <v>344</v>
      </c>
    </row>
    <row r="8" spans="1:6" x14ac:dyDescent="0.3">
      <c r="B8" s="4" t="s">
        <v>336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337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334</v>
      </c>
      <c r="C11" s="3" t="s">
        <v>594</v>
      </c>
      <c r="D11" s="3" t="s">
        <v>335</v>
      </c>
      <c r="E11" s="3" t="s">
        <v>379</v>
      </c>
      <c r="F11" s="3" t="s">
        <v>344</v>
      </c>
    </row>
    <row r="12" spans="1:6" x14ac:dyDescent="0.3">
      <c r="B12" s="4" t="s">
        <v>595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596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4">
        <v>48</v>
      </c>
      <c r="B1" s="1" t="s">
        <v>597</v>
      </c>
    </row>
    <row r="2" spans="1:5" x14ac:dyDescent="0.3">
      <c r="A2" s="35" t="s">
        <v>2</v>
      </c>
    </row>
    <row r="3" spans="1:5" x14ac:dyDescent="0.3">
      <c r="B3" t="s">
        <v>598</v>
      </c>
      <c r="C3" t="s">
        <v>599</v>
      </c>
    </row>
    <row r="4" spans="1:5" x14ac:dyDescent="0.3">
      <c r="B4" s="27">
        <f ca="1">NOW()</f>
        <v>46105.506321875</v>
      </c>
      <c r="C4" s="28">
        <f ca="1">TODAY()</f>
        <v>46105</v>
      </c>
    </row>
    <row r="9" spans="1:5" x14ac:dyDescent="0.3">
      <c r="B9" s="3" t="s">
        <v>600</v>
      </c>
      <c r="C9" s="3" t="s">
        <v>344</v>
      </c>
      <c r="D9" s="3" t="s">
        <v>601</v>
      </c>
      <c r="E9" s="3" t="s">
        <v>602</v>
      </c>
    </row>
    <row r="10" spans="1:5" x14ac:dyDescent="0.3">
      <c r="B10" s="4" t="s">
        <v>603</v>
      </c>
      <c r="C10" s="4" t="s">
        <v>210</v>
      </c>
      <c r="D10" s="30">
        <v>0.61944444444444446</v>
      </c>
      <c r="E10" s="25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4">
        <v>49</v>
      </c>
      <c r="B1" s="1" t="s">
        <v>604</v>
      </c>
    </row>
    <row r="2" spans="1:5" x14ac:dyDescent="0.3">
      <c r="A2" s="35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5">
        <f>DATE(2024,1,20)</f>
        <v>45311</v>
      </c>
      <c r="C4" s="4"/>
      <c r="D4" s="4"/>
      <c r="E4" s="4"/>
    </row>
    <row r="5" spans="1:5" x14ac:dyDescent="0.3">
      <c r="B5" s="25">
        <f>DATE(2024,1,20)</f>
        <v>45311</v>
      </c>
      <c r="C5" s="4"/>
      <c r="D5" s="4"/>
      <c r="E5" s="4"/>
    </row>
    <row r="7" spans="1:5" x14ac:dyDescent="0.3">
      <c r="B7" s="3" t="s">
        <v>605</v>
      </c>
      <c r="C7" s="3" t="s">
        <v>606</v>
      </c>
      <c r="D7" s="3" t="s">
        <v>607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5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5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5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5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5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4">
        <v>50</v>
      </c>
      <c r="B1" s="1" t="s">
        <v>608</v>
      </c>
    </row>
    <row r="2" spans="1:5" x14ac:dyDescent="0.3">
      <c r="A2" s="35" t="s">
        <v>2</v>
      </c>
    </row>
    <row r="3" spans="1:5" x14ac:dyDescent="0.3">
      <c r="B3" s="3" t="s">
        <v>141</v>
      </c>
      <c r="C3" s="3" t="s">
        <v>605</v>
      </c>
      <c r="D3" s="3" t="s">
        <v>606</v>
      </c>
      <c r="E3" s="3" t="s">
        <v>607</v>
      </c>
    </row>
    <row r="4" spans="1:5" x14ac:dyDescent="0.3">
      <c r="B4" s="25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5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5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5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5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4">
        <v>51</v>
      </c>
      <c r="B1" s="1" t="s">
        <v>609</v>
      </c>
    </row>
    <row r="2" spans="1:4" x14ac:dyDescent="0.3">
      <c r="A2" s="35" t="s">
        <v>2</v>
      </c>
    </row>
    <row r="3" spans="1:4" x14ac:dyDescent="0.3">
      <c r="B3" s="3" t="s">
        <v>610</v>
      </c>
      <c r="C3" s="3" t="s">
        <v>611</v>
      </c>
      <c r="D3" s="3" t="s">
        <v>612</v>
      </c>
    </row>
    <row r="4" spans="1:4" x14ac:dyDescent="0.3">
      <c r="B4" s="25">
        <v>45323</v>
      </c>
      <c r="C4" s="25">
        <v>45334</v>
      </c>
      <c r="D4" s="4">
        <f>_xlfn.DAYS(C4,B4)</f>
        <v>11</v>
      </c>
    </row>
    <row r="5" spans="1:4" x14ac:dyDescent="0.3">
      <c r="B5" s="25">
        <v>45354</v>
      </c>
      <c r="C5" s="25">
        <v>45371</v>
      </c>
      <c r="D5" s="4">
        <f>_xlfn.DAYS(C5,B5)</f>
        <v>17</v>
      </c>
    </row>
    <row r="6" spans="1:4" x14ac:dyDescent="0.3">
      <c r="B6" s="25">
        <v>45385</v>
      </c>
      <c r="C6" s="25">
        <v>45448</v>
      </c>
      <c r="D6" s="4">
        <f>_xlfn.DAYS(C6,B6)</f>
        <v>63</v>
      </c>
    </row>
    <row r="7" spans="1:4" x14ac:dyDescent="0.3">
      <c r="B7" s="25">
        <v>45416</v>
      </c>
      <c r="C7" s="25">
        <v>45466</v>
      </c>
      <c r="D7" s="4">
        <f>_xlfn.DAYS(C7,B7)</f>
        <v>50</v>
      </c>
    </row>
    <row r="8" spans="1:4" x14ac:dyDescent="0.3">
      <c r="B8" s="25">
        <v>45447</v>
      </c>
      <c r="C8" s="25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4">
        <v>52</v>
      </c>
      <c r="B1" s="1" t="s">
        <v>613</v>
      </c>
    </row>
    <row r="2" spans="1:3" x14ac:dyDescent="0.3">
      <c r="A2" s="35" t="s">
        <v>2</v>
      </c>
    </row>
    <row r="3" spans="1:3" x14ac:dyDescent="0.3">
      <c r="B3" s="3" t="s">
        <v>614</v>
      </c>
      <c r="C3" s="3" t="s">
        <v>615</v>
      </c>
    </row>
    <row r="4" spans="1:3" x14ac:dyDescent="0.3">
      <c r="B4" s="25">
        <v>45323</v>
      </c>
      <c r="C4" s="25">
        <f>EDATE(B4,-3)</f>
        <v>45231</v>
      </c>
    </row>
    <row r="5" spans="1:3" x14ac:dyDescent="0.3">
      <c r="B5" s="25">
        <v>45354</v>
      </c>
      <c r="C5" s="25">
        <f>EDATE(B5,3)</f>
        <v>45446</v>
      </c>
    </row>
    <row r="6" spans="1:3" x14ac:dyDescent="0.3">
      <c r="B6" s="25">
        <v>45385</v>
      </c>
      <c r="C6" s="25">
        <f>EDATE(B6,3)</f>
        <v>45476</v>
      </c>
    </row>
    <row r="7" spans="1:3" x14ac:dyDescent="0.3">
      <c r="B7" s="25">
        <v>45416</v>
      </c>
      <c r="C7" s="25">
        <f>EDATE(B7,3)</f>
        <v>45508</v>
      </c>
    </row>
    <row r="8" spans="1:3" x14ac:dyDescent="0.3">
      <c r="B8" s="25">
        <v>45447</v>
      </c>
      <c r="C8" s="25">
        <f>EDATE(B8,3)</f>
        <v>45539</v>
      </c>
    </row>
    <row r="10" spans="1:3" x14ac:dyDescent="0.3">
      <c r="B10" t="s">
        <v>616</v>
      </c>
    </row>
    <row r="11" spans="1:3" x14ac:dyDescent="0.3">
      <c r="B11" t="s">
        <v>617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4">
        <v>53</v>
      </c>
      <c r="B1" s="1" t="s">
        <v>618</v>
      </c>
    </row>
    <row r="2" spans="1:3" x14ac:dyDescent="0.3">
      <c r="A2" s="35" t="s">
        <v>2</v>
      </c>
    </row>
    <row r="3" spans="1:3" x14ac:dyDescent="0.3">
      <c r="B3" s="3" t="s">
        <v>614</v>
      </c>
      <c r="C3" s="3" t="s">
        <v>619</v>
      </c>
    </row>
    <row r="4" spans="1:3" x14ac:dyDescent="0.3">
      <c r="B4" s="25">
        <v>45323</v>
      </c>
      <c r="C4" s="25">
        <f>EOMONTH(B4,-1)</f>
        <v>45322</v>
      </c>
    </row>
    <row r="5" spans="1:3" x14ac:dyDescent="0.3">
      <c r="B5" s="25">
        <v>45354</v>
      </c>
      <c r="C5" s="25">
        <f>EOMONTH(B5,-1)</f>
        <v>45351</v>
      </c>
    </row>
    <row r="6" spans="1:3" x14ac:dyDescent="0.3">
      <c r="B6" s="25">
        <v>45385</v>
      </c>
      <c r="C6" s="25">
        <f>EOMONTH(B6,-1)</f>
        <v>45382</v>
      </c>
    </row>
    <row r="7" spans="1:3" x14ac:dyDescent="0.3">
      <c r="B7" s="25">
        <v>45416</v>
      </c>
      <c r="C7" s="25">
        <f>EOMONTH(B7,-1)</f>
        <v>45412</v>
      </c>
    </row>
    <row r="8" spans="1:3" x14ac:dyDescent="0.3">
      <c r="B8" s="25">
        <v>45447</v>
      </c>
      <c r="C8" s="25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4">
        <v>54</v>
      </c>
      <c r="B1" s="1" t="s">
        <v>620</v>
      </c>
    </row>
    <row r="2" spans="1:6" x14ac:dyDescent="0.3">
      <c r="A2" s="35" t="s">
        <v>2</v>
      </c>
    </row>
    <row r="3" spans="1:6" x14ac:dyDescent="0.3">
      <c r="B3" s="3" t="s">
        <v>621</v>
      </c>
      <c r="C3" s="3" t="s">
        <v>622</v>
      </c>
      <c r="D3" s="3" t="s">
        <v>623</v>
      </c>
      <c r="E3" s="3" t="s">
        <v>624</v>
      </c>
      <c r="F3" s="3" t="s">
        <v>625</v>
      </c>
    </row>
    <row r="4" spans="1:6" x14ac:dyDescent="0.3">
      <c r="B4" s="25">
        <v>36557</v>
      </c>
      <c r="C4" s="25">
        <f ca="1">TODAY()</f>
        <v>46105</v>
      </c>
      <c r="D4" s="4">
        <f ca="1">DATEDIF(B4,C4,"y")</f>
        <v>26</v>
      </c>
      <c r="E4" s="4">
        <f ca="1">DATEDIF(B4,C4,"m")</f>
        <v>313</v>
      </c>
      <c r="F4" s="4">
        <f ca="1">DATEDIF(B4,C4,"d")</f>
        <v>9548</v>
      </c>
    </row>
    <row r="5" spans="1:6" x14ac:dyDescent="0.3">
      <c r="B5" s="25">
        <v>43893</v>
      </c>
      <c r="C5" s="25">
        <f ca="1">TODAY()</f>
        <v>46105</v>
      </c>
      <c r="D5" s="4">
        <f ca="1">DATEDIF(B5,C5,"y")</f>
        <v>6</v>
      </c>
      <c r="E5" s="4">
        <f ca="1">DATEDIF(B5,C5,"m")</f>
        <v>72</v>
      </c>
      <c r="F5" s="4">
        <f ca="1">DATEDIF(B5,C5,"d")</f>
        <v>2212</v>
      </c>
    </row>
    <row r="6" spans="1:6" x14ac:dyDescent="0.3">
      <c r="B6" s="25">
        <v>37349</v>
      </c>
      <c r="C6" s="25">
        <f ca="1">TODAY()</f>
        <v>46105</v>
      </c>
      <c r="D6" s="4">
        <f ca="1">DATEDIF(B6,C6,"y")</f>
        <v>23</v>
      </c>
      <c r="E6" s="4">
        <f ca="1">DATEDIF(B6,C6,"m")</f>
        <v>287</v>
      </c>
      <c r="F6" s="4">
        <f ca="1">DATEDIF(B6,C6,"d")</f>
        <v>8756</v>
      </c>
    </row>
    <row r="7" spans="1:6" x14ac:dyDescent="0.3">
      <c r="B7" s="25">
        <v>39210</v>
      </c>
      <c r="C7" s="25">
        <f ca="1">TODAY()</f>
        <v>46105</v>
      </c>
      <c r="D7" s="4">
        <f ca="1">DATEDIF(B7,C7,"y")</f>
        <v>18</v>
      </c>
      <c r="E7" s="4">
        <f ca="1">DATEDIF(B7,C7,"m")</f>
        <v>226</v>
      </c>
      <c r="F7" s="4">
        <f ca="1">DATEDIF(B7,C7,"d")</f>
        <v>6895</v>
      </c>
    </row>
    <row r="8" spans="1:6" x14ac:dyDescent="0.3">
      <c r="B8" s="25">
        <v>38142</v>
      </c>
      <c r="C8" s="25">
        <f ca="1">TODAY()</f>
        <v>46105</v>
      </c>
      <c r="D8" s="4">
        <f ca="1">DATEDIF(B8,C8,"y")</f>
        <v>21</v>
      </c>
      <c r="E8" s="4">
        <f ca="1">DATEDIF(B8,C8,"m")</f>
        <v>261</v>
      </c>
      <c r="F8" s="4">
        <f ca="1">DATEDIF(B8,C8,"d")</f>
        <v>7963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4">
        <v>55</v>
      </c>
      <c r="B1" s="1" t="s">
        <v>626</v>
      </c>
    </row>
    <row r="2" spans="1:7" x14ac:dyDescent="0.3">
      <c r="A2" s="35" t="s">
        <v>2</v>
      </c>
    </row>
    <row r="3" spans="1:7" x14ac:dyDescent="0.3">
      <c r="B3" s="3" t="s">
        <v>610</v>
      </c>
      <c r="C3" s="3" t="s">
        <v>627</v>
      </c>
      <c r="D3" s="3" t="s">
        <v>611</v>
      </c>
      <c r="G3" s="40" t="s">
        <v>628</v>
      </c>
    </row>
    <row r="4" spans="1:7" x14ac:dyDescent="0.3">
      <c r="B4" s="25">
        <v>45293</v>
      </c>
      <c r="C4" s="4">
        <v>25</v>
      </c>
      <c r="D4" s="25">
        <f>WORKDAY(B4,C4,$G$4:$G$7)</f>
        <v>45329</v>
      </c>
      <c r="G4" s="56">
        <v>45317</v>
      </c>
    </row>
    <row r="5" spans="1:7" x14ac:dyDescent="0.3">
      <c r="B5" s="25">
        <v>45354</v>
      </c>
      <c r="C5" s="4">
        <v>5</v>
      </c>
      <c r="D5" s="25">
        <f>WORKDAY(B5,C5,$G$4:$G$7)</f>
        <v>45359</v>
      </c>
      <c r="G5" s="55">
        <v>45519</v>
      </c>
    </row>
    <row r="6" spans="1:7" x14ac:dyDescent="0.3">
      <c r="B6" s="25">
        <v>45385</v>
      </c>
      <c r="C6" s="4">
        <v>3</v>
      </c>
      <c r="D6" s="25">
        <f>WORKDAY(B6,C6,$G$4:$G$7)</f>
        <v>45390</v>
      </c>
      <c r="G6" s="25">
        <v>45932</v>
      </c>
    </row>
    <row r="7" spans="1:7" x14ac:dyDescent="0.3">
      <c r="B7" s="25">
        <v>45416</v>
      </c>
      <c r="C7" s="4">
        <v>2</v>
      </c>
      <c r="D7" s="25">
        <f>WORKDAY(B7,C7,$G$4:$G$7)</f>
        <v>45419</v>
      </c>
      <c r="G7" s="4"/>
    </row>
    <row r="8" spans="1:7" x14ac:dyDescent="0.3">
      <c r="B8" s="25">
        <v>45447</v>
      </c>
      <c r="C8" s="4">
        <v>10</v>
      </c>
      <c r="D8" s="25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4">
        <v>56</v>
      </c>
      <c r="B1" s="1" t="s">
        <v>629</v>
      </c>
    </row>
    <row r="2" spans="1:7" x14ac:dyDescent="0.3">
      <c r="A2" s="35" t="s">
        <v>2</v>
      </c>
    </row>
    <row r="3" spans="1:7" x14ac:dyDescent="0.3">
      <c r="B3" s="3" t="s">
        <v>610</v>
      </c>
      <c r="C3" s="3" t="s">
        <v>630</v>
      </c>
      <c r="D3" s="3" t="s">
        <v>611</v>
      </c>
      <c r="G3" s="40" t="s">
        <v>628</v>
      </c>
    </row>
    <row r="4" spans="1:7" x14ac:dyDescent="0.3">
      <c r="B4" s="25">
        <v>45323</v>
      </c>
      <c r="C4" s="4">
        <v>10</v>
      </c>
      <c r="D4" s="25">
        <f>WORKDAY.INTL(B4,C4,11,$G$4:$G$7)</f>
        <v>45335</v>
      </c>
      <c r="E4">
        <f>NETWORKDAYS.INTL(B4,D4,11)</f>
        <v>11</v>
      </c>
      <c r="G4" s="56">
        <v>45317</v>
      </c>
    </row>
    <row r="5" spans="1:7" x14ac:dyDescent="0.3">
      <c r="B5" s="25">
        <v>45354</v>
      </c>
      <c r="C5" s="4">
        <v>5</v>
      </c>
      <c r="D5" s="25">
        <f>WORKDAY.INTL(B5,C5,11,$G$4:$G$7)</f>
        <v>45359</v>
      </c>
      <c r="G5" s="55">
        <v>45519</v>
      </c>
    </row>
    <row r="6" spans="1:7" x14ac:dyDescent="0.3">
      <c r="B6" s="25">
        <v>45385</v>
      </c>
      <c r="C6" s="4">
        <v>3</v>
      </c>
      <c r="D6" s="25">
        <f>WORKDAY.INTL(B6,C6,11,$G$4:$G$7)</f>
        <v>45388</v>
      </c>
      <c r="G6" s="25">
        <v>45932</v>
      </c>
    </row>
    <row r="7" spans="1:7" x14ac:dyDescent="0.3">
      <c r="B7" s="25">
        <v>45416</v>
      </c>
      <c r="C7" s="4">
        <v>2</v>
      </c>
      <c r="D7" s="25">
        <f>WORKDAY.INTL(B7,C7,11,$G$4:$G$7)</f>
        <v>45419</v>
      </c>
      <c r="G7" s="4"/>
    </row>
    <row r="8" spans="1:7" x14ac:dyDescent="0.3">
      <c r="B8" s="25">
        <v>45447</v>
      </c>
      <c r="C8" s="4">
        <v>10</v>
      </c>
      <c r="D8" s="25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4">
        <v>57</v>
      </c>
      <c r="B1" s="1" t="s">
        <v>631</v>
      </c>
    </row>
    <row r="2" spans="1:7" x14ac:dyDescent="0.3">
      <c r="A2" s="35" t="s">
        <v>2</v>
      </c>
    </row>
    <row r="3" spans="1:7" x14ac:dyDescent="0.3">
      <c r="B3" s="3" t="s">
        <v>610</v>
      </c>
      <c r="C3" s="3" t="s">
        <v>632</v>
      </c>
      <c r="D3" s="3" t="s">
        <v>633</v>
      </c>
      <c r="G3" s="3" t="s">
        <v>628</v>
      </c>
    </row>
    <row r="4" spans="1:7" x14ac:dyDescent="0.3">
      <c r="B4" s="25">
        <v>45292</v>
      </c>
      <c r="C4" s="25">
        <v>45319</v>
      </c>
      <c r="D4" s="4">
        <f>NETWORKDAYS(B4,C4,$G$4:$G$7)</f>
        <v>19</v>
      </c>
      <c r="E4">
        <f>NETWORKDAYS(B4,C4,G4)</f>
        <v>19</v>
      </c>
      <c r="G4" s="28">
        <v>45317</v>
      </c>
    </row>
    <row r="5" spans="1:7" x14ac:dyDescent="0.3">
      <c r="B5" s="25">
        <v>45354</v>
      </c>
      <c r="C5" s="25">
        <v>45397</v>
      </c>
      <c r="D5" s="4">
        <f>NETWORKDAYS(B5,C5,$G$4:$G$7)</f>
        <v>31</v>
      </c>
      <c r="G5" s="25">
        <v>45519</v>
      </c>
    </row>
    <row r="6" spans="1:7" x14ac:dyDescent="0.3">
      <c r="B6" s="25">
        <v>45385</v>
      </c>
      <c r="C6" s="25">
        <v>45394</v>
      </c>
      <c r="D6" s="4">
        <f>NETWORKDAYS(B6,C6,$G$4:$G$7)</f>
        <v>8</v>
      </c>
      <c r="G6" s="25">
        <v>45932</v>
      </c>
    </row>
    <row r="7" spans="1:7" x14ac:dyDescent="0.3">
      <c r="B7" s="25">
        <v>45325</v>
      </c>
      <c r="C7" s="25">
        <v>45337</v>
      </c>
      <c r="D7" s="4">
        <f>NETWORKDAYS(B7,C7,$G$4:$G$7)</f>
        <v>9</v>
      </c>
      <c r="G7" s="4"/>
    </row>
    <row r="8" spans="1:7" x14ac:dyDescent="0.3">
      <c r="B8" s="25">
        <v>45354</v>
      </c>
      <c r="C8" s="25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4">
        <v>58</v>
      </c>
      <c r="B1" s="1" t="s">
        <v>634</v>
      </c>
    </row>
    <row r="2" spans="1:7" x14ac:dyDescent="0.3">
      <c r="A2" s="35" t="s">
        <v>2</v>
      </c>
    </row>
    <row r="3" spans="1:7" x14ac:dyDescent="0.3">
      <c r="B3" s="3" t="s">
        <v>610</v>
      </c>
      <c r="C3" s="3" t="s">
        <v>632</v>
      </c>
      <c r="D3" s="3" t="s">
        <v>611</v>
      </c>
      <c r="G3" s="3" t="s">
        <v>628</v>
      </c>
    </row>
    <row r="4" spans="1:7" x14ac:dyDescent="0.3">
      <c r="B4" s="25">
        <v>45292</v>
      </c>
      <c r="C4" s="25">
        <v>45319</v>
      </c>
      <c r="D4" s="4">
        <f>NETWORKDAYS.INTL(B4,C4,11,$G$4:$G$7)</f>
        <v>23</v>
      </c>
      <c r="G4" s="28">
        <v>45317</v>
      </c>
    </row>
    <row r="5" spans="1:7" x14ac:dyDescent="0.3">
      <c r="B5" s="25">
        <v>45354</v>
      </c>
      <c r="C5" s="25">
        <v>45337</v>
      </c>
      <c r="D5" s="4"/>
      <c r="G5" s="25">
        <v>45519</v>
      </c>
    </row>
    <row r="6" spans="1:7" x14ac:dyDescent="0.3">
      <c r="B6" s="25">
        <v>45385</v>
      </c>
      <c r="C6" s="25">
        <v>45394</v>
      </c>
      <c r="D6" s="4"/>
      <c r="G6" s="25">
        <v>45932</v>
      </c>
    </row>
    <row r="7" spans="1:7" x14ac:dyDescent="0.3">
      <c r="B7" s="25">
        <v>45354</v>
      </c>
      <c r="C7" s="25">
        <v>45337</v>
      </c>
      <c r="D7" s="4"/>
      <c r="G7" s="4"/>
    </row>
    <row r="8" spans="1:7" x14ac:dyDescent="0.3">
      <c r="B8" s="25">
        <v>45354</v>
      </c>
      <c r="C8" s="25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4">
        <v>59</v>
      </c>
      <c r="B1" s="1" t="s">
        <v>635</v>
      </c>
    </row>
    <row r="2" spans="1:10" x14ac:dyDescent="0.3">
      <c r="A2" s="35" t="s">
        <v>2</v>
      </c>
    </row>
    <row r="3" spans="1:10" x14ac:dyDescent="0.3">
      <c r="B3" s="40" t="s">
        <v>636</v>
      </c>
      <c r="C3" s="3" t="s">
        <v>637</v>
      </c>
      <c r="D3" s="3" t="s">
        <v>638</v>
      </c>
      <c r="F3" s="40" t="s">
        <v>636</v>
      </c>
      <c r="G3" s="3" t="s">
        <v>637</v>
      </c>
      <c r="H3" s="3" t="s">
        <v>639</v>
      </c>
      <c r="J3" s="36"/>
    </row>
    <row r="4" spans="1:10" x14ac:dyDescent="0.3">
      <c r="B4" s="37" t="s">
        <v>640</v>
      </c>
      <c r="C4" s="41">
        <v>34</v>
      </c>
      <c r="D4" s="4" t="str">
        <f>IF(C4&gt;=40,"Pass","Fail")</f>
        <v>Fail</v>
      </c>
      <c r="F4" s="37" t="s">
        <v>640</v>
      </c>
      <c r="G4" s="41">
        <v>34</v>
      </c>
      <c r="H4" s="4">
        <f>IF(G4&lt;40,G4+5,G4)</f>
        <v>39</v>
      </c>
    </row>
    <row r="5" spans="1:10" x14ac:dyDescent="0.3">
      <c r="B5" s="37" t="s">
        <v>641</v>
      </c>
      <c r="C5" s="41">
        <v>54</v>
      </c>
      <c r="D5" s="4" t="str">
        <f>IF(C5&gt;=40,"Pass","Fail")</f>
        <v>Pass</v>
      </c>
      <c r="F5" s="37" t="s">
        <v>641</v>
      </c>
      <c r="G5" s="41">
        <v>54</v>
      </c>
      <c r="H5" s="4">
        <f>IF(G5&lt;40,G5+5,G5)</f>
        <v>54</v>
      </c>
    </row>
    <row r="6" spans="1:10" x14ac:dyDescent="0.3">
      <c r="B6" s="37" t="s">
        <v>642</v>
      </c>
      <c r="C6" s="41">
        <v>33</v>
      </c>
      <c r="D6" s="4" t="str">
        <f>IF(C6&gt;=40,"Pass","Fail")</f>
        <v>Fail</v>
      </c>
      <c r="F6" s="37" t="s">
        <v>642</v>
      </c>
      <c r="G6" s="41">
        <v>87</v>
      </c>
      <c r="H6" s="4">
        <f>IF(G6&lt;40,G6+5,G6)</f>
        <v>87</v>
      </c>
    </row>
    <row r="7" spans="1:10" x14ac:dyDescent="0.3">
      <c r="B7" s="37" t="s">
        <v>643</v>
      </c>
      <c r="C7" s="41">
        <v>55</v>
      </c>
      <c r="D7" s="4" t="str">
        <f>IF(C7&gt;=40,"Pass","Fail")</f>
        <v>Pass</v>
      </c>
      <c r="F7" s="37" t="s">
        <v>643</v>
      </c>
      <c r="G7" s="41">
        <v>55</v>
      </c>
      <c r="H7" s="4">
        <f>IF(G7&lt;40,G7+5,G7)</f>
        <v>55</v>
      </c>
    </row>
    <row r="8" spans="1:10" x14ac:dyDescent="0.3">
      <c r="B8" s="37" t="s">
        <v>644</v>
      </c>
      <c r="C8" s="41">
        <v>13</v>
      </c>
      <c r="D8" s="4" t="str">
        <f>IF(C8&gt;=40,"Pass","Fail")</f>
        <v>Fail</v>
      </c>
      <c r="F8" s="54" t="s">
        <v>644</v>
      </c>
      <c r="G8" s="41">
        <v>13</v>
      </c>
      <c r="H8" s="4">
        <f>IF(G8&lt;40,G8+5,G8)</f>
        <v>18</v>
      </c>
    </row>
    <row r="10" spans="1:10" x14ac:dyDescent="0.3">
      <c r="B10" s="40" t="s">
        <v>636</v>
      </c>
      <c r="C10" s="3" t="s">
        <v>637</v>
      </c>
      <c r="D10" s="3" t="s">
        <v>645</v>
      </c>
      <c r="F10" s="40" t="s">
        <v>636</v>
      </c>
      <c r="G10" s="3" t="s">
        <v>637</v>
      </c>
      <c r="H10" s="3" t="s">
        <v>646</v>
      </c>
    </row>
    <row r="11" spans="1:10" x14ac:dyDescent="0.3">
      <c r="B11" s="37" t="s">
        <v>640</v>
      </c>
      <c r="C11" s="41">
        <v>56</v>
      </c>
      <c r="D11" s="4" t="str">
        <f>IF(C11&lt;40,B11,"")</f>
        <v/>
      </c>
      <c r="F11" s="37" t="s">
        <v>640</v>
      </c>
      <c r="G11" s="41">
        <v>34</v>
      </c>
      <c r="H11" s="4" t="str">
        <f>IF(G11&gt;=40,"✔️","❌")</f>
        <v>❌</v>
      </c>
    </row>
    <row r="12" spans="1:10" x14ac:dyDescent="0.3">
      <c r="B12" s="37" t="s">
        <v>641</v>
      </c>
      <c r="C12" s="41">
        <v>12</v>
      </c>
      <c r="D12" s="4" t="str">
        <f>IF(C12&lt;40,B12,"")</f>
        <v>Ritesh S.</v>
      </c>
      <c r="F12" s="37" t="s">
        <v>641</v>
      </c>
      <c r="G12" s="41">
        <v>54</v>
      </c>
      <c r="H12" s="4" t="str">
        <f>IF(G12&gt;=40,"✔️","❌")</f>
        <v>✔️</v>
      </c>
    </row>
    <row r="13" spans="1:10" x14ac:dyDescent="0.3">
      <c r="B13" s="37" t="s">
        <v>642</v>
      </c>
      <c r="C13" s="41">
        <v>13</v>
      </c>
      <c r="D13" s="4" t="str">
        <f>IF(C13&lt;40,B13,"")</f>
        <v>Naveen Yadav</v>
      </c>
      <c r="F13" s="37" t="s">
        <v>642</v>
      </c>
      <c r="G13" s="41">
        <v>87</v>
      </c>
      <c r="H13" s="4" t="str">
        <f>IF(G13&gt;=40,"✔️","❌")</f>
        <v>✔️</v>
      </c>
    </row>
    <row r="14" spans="1:10" x14ac:dyDescent="0.3">
      <c r="B14" s="37" t="s">
        <v>643</v>
      </c>
      <c r="C14" s="41">
        <v>44</v>
      </c>
      <c r="D14" s="4" t="str">
        <f>IF(C14&lt;40,B14,"")</f>
        <v/>
      </c>
      <c r="F14" s="37" t="s">
        <v>643</v>
      </c>
      <c r="G14" s="41">
        <v>55</v>
      </c>
      <c r="H14" s="4" t="str">
        <f>IF(G14&gt;=40,"✔️","❌")</f>
        <v>✔️</v>
      </c>
    </row>
    <row r="15" spans="1:10" x14ac:dyDescent="0.3">
      <c r="A15" s="35" t="s">
        <v>2</v>
      </c>
    </row>
    <row r="16" spans="1:10" x14ac:dyDescent="0.3">
      <c r="B16" s="3" t="s">
        <v>636</v>
      </c>
      <c r="C16" s="3" t="s">
        <v>647</v>
      </c>
      <c r="D16" s="147" t="s">
        <v>648</v>
      </c>
      <c r="E16" s="147"/>
      <c r="F16" s="147"/>
    </row>
    <row r="17" spans="2:6" x14ac:dyDescent="0.3">
      <c r="B17" s="25" t="s">
        <v>649</v>
      </c>
      <c r="C17" s="4" t="s">
        <v>650</v>
      </c>
      <c r="D17" s="146" t="str">
        <f>IF(C17="male","Mr. "&amp;B17,"Mis "&amp;B17)</f>
        <v>Mr. Raj Kumar</v>
      </c>
      <c r="E17" s="146"/>
      <c r="F17" s="146"/>
    </row>
    <row r="18" spans="2:6" x14ac:dyDescent="0.3">
      <c r="B18" s="25" t="s">
        <v>498</v>
      </c>
      <c r="C18" s="4" t="s">
        <v>651</v>
      </c>
      <c r="D18" s="146" t="str">
        <f>IF(C18="male","Mr. "&amp;B18,"Mis "&amp;B18)</f>
        <v>Mis Tejal</v>
      </c>
      <c r="E18" s="146"/>
      <c r="F18" s="146"/>
    </row>
    <row r="19" spans="2:6" x14ac:dyDescent="0.3">
      <c r="B19" s="25" t="s">
        <v>652</v>
      </c>
      <c r="C19" s="4" t="s">
        <v>650</v>
      </c>
      <c r="D19" s="146" t="str">
        <f>IF(C19="male","Mr. "&amp;B19,"Mis "&amp;B19)</f>
        <v>Mr. Anil Kumar</v>
      </c>
      <c r="E19" s="146"/>
      <c r="F19" s="146"/>
    </row>
    <row r="20" spans="2:6" x14ac:dyDescent="0.3">
      <c r="B20" s="25" t="s">
        <v>653</v>
      </c>
      <c r="C20" s="4" t="s">
        <v>651</v>
      </c>
      <c r="D20" s="146" t="str">
        <f>IF(C20="male","Mr. "&amp;B20,"Mis "&amp;B20)</f>
        <v>Mis Reena</v>
      </c>
      <c r="E20" s="146"/>
      <c r="F20" s="146"/>
    </row>
    <row r="21" spans="2:6" x14ac:dyDescent="0.3">
      <c r="B21" s="25" t="s">
        <v>543</v>
      </c>
      <c r="C21" s="4" t="s">
        <v>650</v>
      </c>
      <c r="D21" s="146" t="str">
        <f>IF(C21="male","Mr. "&amp;B21,"Mis "&amp;B21)</f>
        <v>Mr. Deepak</v>
      </c>
      <c r="E21" s="146"/>
      <c r="F21" s="146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4">
        <v>60</v>
      </c>
      <c r="B1" s="1" t="s">
        <v>654</v>
      </c>
    </row>
    <row r="2" spans="1:7" x14ac:dyDescent="0.3">
      <c r="A2" s="35" t="s">
        <v>2</v>
      </c>
    </row>
    <row r="3" spans="1:7" x14ac:dyDescent="0.3">
      <c r="B3" s="40" t="s">
        <v>636</v>
      </c>
      <c r="C3" s="3" t="s">
        <v>193</v>
      </c>
      <c r="D3" s="3" t="s">
        <v>194</v>
      </c>
      <c r="E3" s="3" t="s">
        <v>195</v>
      </c>
      <c r="F3" s="3" t="s">
        <v>638</v>
      </c>
    </row>
    <row r="4" spans="1:7" x14ac:dyDescent="0.3">
      <c r="B4" s="37" t="s">
        <v>655</v>
      </c>
      <c r="C4" s="41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7" t="s">
        <v>656</v>
      </c>
      <c r="C5" s="41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7" t="s">
        <v>657</v>
      </c>
      <c r="C6" s="41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7" t="s">
        <v>658</v>
      </c>
      <c r="C7" s="41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7" t="s">
        <v>659</v>
      </c>
      <c r="C8" s="41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28" t="s">
        <v>660</v>
      </c>
    </row>
    <row r="14" spans="1:7" x14ac:dyDescent="0.3">
      <c r="A14" s="35" t="s">
        <v>2</v>
      </c>
    </row>
    <row r="16" spans="1:7" x14ac:dyDescent="0.3">
      <c r="B16" s="3" t="s">
        <v>661</v>
      </c>
      <c r="C16" s="3" t="s">
        <v>662</v>
      </c>
      <c r="D16" s="3" t="s">
        <v>84</v>
      </c>
      <c r="E16" s="3" t="s">
        <v>663</v>
      </c>
      <c r="F16" s="3" t="s">
        <v>664</v>
      </c>
    </row>
    <row r="17" spans="2:6" x14ac:dyDescent="0.3">
      <c r="B17" s="25" t="s">
        <v>649</v>
      </c>
      <c r="C17" s="4" t="s">
        <v>665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5" t="s">
        <v>666</v>
      </c>
      <c r="C18" s="4" t="s">
        <v>667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5" t="s">
        <v>652</v>
      </c>
      <c r="C19" s="4" t="s">
        <v>665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5" t="s">
        <v>406</v>
      </c>
      <c r="C20" s="4" t="s">
        <v>665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5" t="s">
        <v>543</v>
      </c>
      <c r="C21" s="4" t="s">
        <v>668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5" t="s">
        <v>406</v>
      </c>
      <c r="C22" s="4" t="s">
        <v>668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5" t="s">
        <v>543</v>
      </c>
      <c r="C23" s="4" t="s">
        <v>665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5" t="s">
        <v>406</v>
      </c>
      <c r="C24" s="4" t="s">
        <v>665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28" t="s">
        <v>669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4">
        <v>61</v>
      </c>
      <c r="B1" s="1" t="s">
        <v>670</v>
      </c>
    </row>
    <row r="2" spans="1:7" x14ac:dyDescent="0.3">
      <c r="A2" s="35" t="s">
        <v>2</v>
      </c>
    </row>
    <row r="3" spans="1:7" x14ac:dyDescent="0.3">
      <c r="B3" s="38" t="s">
        <v>636</v>
      </c>
      <c r="C3" s="3" t="s">
        <v>671</v>
      </c>
      <c r="D3" s="3" t="s">
        <v>672</v>
      </c>
    </row>
    <row r="4" spans="1:7" x14ac:dyDescent="0.3">
      <c r="B4" s="37" t="s">
        <v>673</v>
      </c>
      <c r="C4" s="4" t="s">
        <v>674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7" t="s">
        <v>675</v>
      </c>
      <c r="C5" s="4" t="s">
        <v>676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7" t="s">
        <v>677</v>
      </c>
      <c r="C6" s="4" t="s">
        <v>678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7" t="s">
        <v>679</v>
      </c>
      <c r="C7" s="4" t="s">
        <v>674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7" t="s">
        <v>680</v>
      </c>
      <c r="C8" s="4" t="s">
        <v>676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28" t="s">
        <v>681</v>
      </c>
    </row>
    <row r="11" spans="1:7" x14ac:dyDescent="0.3">
      <c r="A11" s="35" t="s">
        <v>2</v>
      </c>
    </row>
    <row r="16" spans="1:7" x14ac:dyDescent="0.3">
      <c r="B16" s="3" t="s">
        <v>636</v>
      </c>
      <c r="C16" s="3" t="s">
        <v>682</v>
      </c>
      <c r="D16" s="3" t="s">
        <v>638</v>
      </c>
      <c r="G16" s="36"/>
    </row>
    <row r="17" spans="2:4" x14ac:dyDescent="0.3">
      <c r="B17" s="37" t="s">
        <v>683</v>
      </c>
      <c r="C17" s="31">
        <v>0.45</v>
      </c>
      <c r="D17" s="4" t="str">
        <f>IF(OR(C17&lt;40%,C17="A"),"fail","pass")</f>
        <v>pass</v>
      </c>
    </row>
    <row r="18" spans="2:4" x14ac:dyDescent="0.3">
      <c r="B18" s="37" t="s">
        <v>684</v>
      </c>
      <c r="C18" s="31">
        <v>0.76</v>
      </c>
      <c r="D18" s="4" t="str">
        <f t="shared" ref="D18:D24" si="0">IF(OR(C18&lt;40%,C18="A"),"fail","pass")</f>
        <v>pass</v>
      </c>
    </row>
    <row r="19" spans="2:4" x14ac:dyDescent="0.3">
      <c r="B19" s="37" t="s">
        <v>685</v>
      </c>
      <c r="C19" s="31">
        <v>0.56000000000000005</v>
      </c>
      <c r="D19" s="4" t="str">
        <f t="shared" si="0"/>
        <v>pass</v>
      </c>
    </row>
    <row r="20" spans="2:4" x14ac:dyDescent="0.3">
      <c r="B20" s="37" t="s">
        <v>686</v>
      </c>
      <c r="C20" s="4" t="s">
        <v>207</v>
      </c>
      <c r="D20" s="4" t="str">
        <f t="shared" si="0"/>
        <v>fail</v>
      </c>
    </row>
    <row r="21" spans="2:4" x14ac:dyDescent="0.3">
      <c r="B21" s="37" t="s">
        <v>687</v>
      </c>
      <c r="C21" s="31">
        <v>0.77</v>
      </c>
      <c r="D21" s="4" t="str">
        <f t="shared" si="0"/>
        <v>pass</v>
      </c>
    </row>
    <row r="22" spans="2:4" x14ac:dyDescent="0.3">
      <c r="B22" s="37" t="s">
        <v>686</v>
      </c>
      <c r="C22" s="4" t="s">
        <v>207</v>
      </c>
      <c r="D22" s="4" t="str">
        <f t="shared" si="0"/>
        <v>fail</v>
      </c>
    </row>
    <row r="23" spans="2:4" x14ac:dyDescent="0.3">
      <c r="B23" s="37" t="s">
        <v>688</v>
      </c>
      <c r="C23" s="31">
        <v>0.98</v>
      </c>
      <c r="D23" s="4" t="str">
        <f t="shared" si="0"/>
        <v>pass</v>
      </c>
    </row>
    <row r="24" spans="2:4" x14ac:dyDescent="0.3">
      <c r="B24" s="37" t="s">
        <v>686</v>
      </c>
      <c r="C24" s="31">
        <v>0.33</v>
      </c>
      <c r="D24" s="4" t="str">
        <f t="shared" si="0"/>
        <v>fail</v>
      </c>
    </row>
    <row r="26" spans="2:4" x14ac:dyDescent="0.3">
      <c r="B26" s="28" t="s">
        <v>689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4">
        <v>62</v>
      </c>
      <c r="B1" s="1" t="s">
        <v>690</v>
      </c>
    </row>
    <row r="2" spans="1:8" x14ac:dyDescent="0.3">
      <c r="A2" s="35" t="s">
        <v>2</v>
      </c>
    </row>
    <row r="3" spans="1:8" x14ac:dyDescent="0.3">
      <c r="B3" s="3" t="s">
        <v>636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691</v>
      </c>
    </row>
    <row r="4" spans="1:8" x14ac:dyDescent="0.3">
      <c r="B4" s="37" t="s">
        <v>692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7" t="s">
        <v>693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7" t="s">
        <v>694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7" t="s">
        <v>695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7" t="s">
        <v>696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6"/>
    </row>
    <row r="10" spans="1:8" x14ac:dyDescent="0.3">
      <c r="B10" s="28" t="s">
        <v>697</v>
      </c>
    </row>
    <row r="11" spans="1:8" x14ac:dyDescent="0.3">
      <c r="B11" s="28" t="s">
        <v>698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28" t="s">
        <v>699</v>
      </c>
    </row>
    <row r="13" spans="1:8" x14ac:dyDescent="0.3">
      <c r="B13" s="28" t="s">
        <v>700</v>
      </c>
    </row>
    <row r="14" spans="1:8" x14ac:dyDescent="0.3">
      <c r="B14" s="28" t="s">
        <v>701</v>
      </c>
    </row>
    <row r="15" spans="1:8" x14ac:dyDescent="0.3">
      <c r="A15" s="35" t="s">
        <v>2</v>
      </c>
    </row>
    <row r="16" spans="1:8" x14ac:dyDescent="0.3">
      <c r="B16" s="38" t="s">
        <v>702</v>
      </c>
      <c r="C16" s="38" t="s">
        <v>703</v>
      </c>
      <c r="D16" s="3" t="s">
        <v>672</v>
      </c>
    </row>
    <row r="17" spans="2:4" x14ac:dyDescent="0.3">
      <c r="B17" s="37" t="s">
        <v>704</v>
      </c>
      <c r="C17" s="37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7" t="s">
        <v>705</v>
      </c>
      <c r="C18" s="37">
        <v>85</v>
      </c>
      <c r="D18" s="4" t="str">
        <f t="array" ref="D18">_xlfn.IFS(C18&gt;=80,"fast",C18&gt;=50,"normal",C18&lt;50,"slow")</f>
        <v>fast</v>
      </c>
    </row>
    <row r="19" spans="2:4" x14ac:dyDescent="0.3">
      <c r="B19" s="37" t="s">
        <v>706</v>
      </c>
      <c r="C19" s="37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7" t="s">
        <v>707</v>
      </c>
      <c r="C20" s="37">
        <v>95</v>
      </c>
      <c r="D20" s="4" t="str">
        <f t="array" ref="D20">_xlfn.IFS(C20&gt;=80,"fast",C20&gt;=50,"normal",C20&lt;50,"slow")</f>
        <v>fast</v>
      </c>
    </row>
    <row r="21" spans="2:4" x14ac:dyDescent="0.3">
      <c r="B21" s="37" t="s">
        <v>708</v>
      </c>
      <c r="C21" s="37">
        <v>35</v>
      </c>
      <c r="D21" s="4" t="str">
        <f t="array" ref="D21">_xlfn.IFS(C21&gt;=80,"fast",C21&gt;=50,"normal",C21&lt;50,"slow")</f>
        <v>slow</v>
      </c>
    </row>
    <row r="23" spans="2:4" x14ac:dyDescent="0.3">
      <c r="B23" s="28" t="s">
        <v>709</v>
      </c>
    </row>
    <row r="24" spans="2:4" x14ac:dyDescent="0.3">
      <c r="B24" s="28" t="s">
        <v>710</v>
      </c>
    </row>
    <row r="25" spans="2:4" x14ac:dyDescent="0.3">
      <c r="B25" s="28" t="s">
        <v>711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4">
        <v>63</v>
      </c>
      <c r="B1" s="1" t="s">
        <v>712</v>
      </c>
    </row>
    <row r="2" spans="1:10" x14ac:dyDescent="0.3">
      <c r="A2" s="35" t="s">
        <v>2</v>
      </c>
    </row>
    <row r="3" spans="1:10" x14ac:dyDescent="0.3">
      <c r="B3" s="3" t="s">
        <v>713</v>
      </c>
      <c r="C3" s="3" t="s">
        <v>594</v>
      </c>
      <c r="D3" s="3" t="s">
        <v>252</v>
      </c>
      <c r="E3" s="3" t="s">
        <v>662</v>
      </c>
      <c r="F3" s="3" t="s">
        <v>714</v>
      </c>
      <c r="H3" s="3" t="s">
        <v>713</v>
      </c>
      <c r="I3" s="3" t="s">
        <v>714</v>
      </c>
    </row>
    <row r="4" spans="1:10" x14ac:dyDescent="0.3">
      <c r="B4" s="4">
        <v>100</v>
      </c>
      <c r="C4" s="25" t="s">
        <v>649</v>
      </c>
      <c r="D4" s="4">
        <v>45000</v>
      </c>
      <c r="E4" s="4" t="s">
        <v>668</v>
      </c>
      <c r="F4" s="25">
        <v>44927</v>
      </c>
      <c r="H4" s="4">
        <v>1222</v>
      </c>
      <c r="I4" s="25" t="str">
        <f>IFERROR(VLOOKUP(H4,B3:F9,5,0),"not found")</f>
        <v>not found</v>
      </c>
    </row>
    <row r="5" spans="1:10" x14ac:dyDescent="0.3">
      <c r="B5" s="4">
        <v>101</v>
      </c>
      <c r="C5" s="25" t="s">
        <v>666</v>
      </c>
      <c r="D5" s="4">
        <v>50000</v>
      </c>
      <c r="E5" s="4" t="s">
        <v>665</v>
      </c>
      <c r="F5" s="25">
        <v>45447</v>
      </c>
    </row>
    <row r="6" spans="1:10" x14ac:dyDescent="0.3">
      <c r="B6" s="4">
        <v>102</v>
      </c>
      <c r="C6" s="25" t="s">
        <v>652</v>
      </c>
      <c r="D6" s="4">
        <v>17000</v>
      </c>
      <c r="E6" s="4" t="s">
        <v>667</v>
      </c>
      <c r="F6" s="25">
        <v>44793</v>
      </c>
      <c r="H6" s="3" t="s">
        <v>713</v>
      </c>
      <c r="I6" s="3" t="s">
        <v>252</v>
      </c>
    </row>
    <row r="7" spans="1:10" x14ac:dyDescent="0.3">
      <c r="B7" s="4">
        <v>103</v>
      </c>
      <c r="C7" s="25" t="s">
        <v>406</v>
      </c>
      <c r="D7" s="4">
        <v>25000</v>
      </c>
      <c r="E7" s="4" t="s">
        <v>668</v>
      </c>
      <c r="F7" s="25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5" t="s">
        <v>543</v>
      </c>
      <c r="D8" s="4">
        <v>40000</v>
      </c>
      <c r="E8" s="4" t="s">
        <v>369</v>
      </c>
      <c r="F8" s="25">
        <v>44599</v>
      </c>
    </row>
    <row r="9" spans="1:10" x14ac:dyDescent="0.3">
      <c r="B9" s="4">
        <v>105</v>
      </c>
      <c r="C9" s="25" t="s">
        <v>715</v>
      </c>
      <c r="D9" s="4">
        <v>23000</v>
      </c>
      <c r="E9" s="4" t="s">
        <v>369</v>
      </c>
      <c r="F9" s="25">
        <v>44600</v>
      </c>
    </row>
    <row r="10" spans="1:10" x14ac:dyDescent="0.3">
      <c r="B10" s="28"/>
    </row>
    <row r="11" spans="1:10" x14ac:dyDescent="0.3">
      <c r="B11" s="3" t="s">
        <v>713</v>
      </c>
      <c r="C11" s="3" t="s">
        <v>594</v>
      </c>
      <c r="D11" s="3" t="s">
        <v>252</v>
      </c>
      <c r="E11" s="3" t="s">
        <v>662</v>
      </c>
      <c r="F11" s="3" t="s">
        <v>714</v>
      </c>
      <c r="H11" s="3" t="s">
        <v>713</v>
      </c>
      <c r="I11" s="3" t="s">
        <v>252</v>
      </c>
      <c r="J11" s="3" t="s">
        <v>714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5">
        <f>VLOOKUP($B$12,$B$3:$F$9,COLUMNS($B$10:F10),0)</f>
        <v>44793</v>
      </c>
      <c r="H12" s="4">
        <v>101</v>
      </c>
      <c r="I12" s="4">
        <f>VLOOKUP(H12,B3:F9,3,0)</f>
        <v>50000</v>
      </c>
      <c r="J12" s="25">
        <f>VLOOKUP(H12,B3:F9,5,0)</f>
        <v>45447</v>
      </c>
    </row>
    <row r="13" spans="1:10" x14ac:dyDescent="0.3">
      <c r="B13" s="33"/>
      <c r="C13" s="33"/>
      <c r="D13" s="33"/>
      <c r="E13" s="33"/>
      <c r="F13" s="33"/>
    </row>
    <row r="14" spans="1:10" x14ac:dyDescent="0.3">
      <c r="B14" s="28"/>
    </row>
    <row r="15" spans="1:10" x14ac:dyDescent="0.3">
      <c r="B15" s="28"/>
    </row>
    <row r="16" spans="1:10" x14ac:dyDescent="0.3">
      <c r="B16" s="3" t="s">
        <v>716</v>
      </c>
      <c r="C16" s="38" t="s">
        <v>594</v>
      </c>
      <c r="D16" s="3" t="s">
        <v>717</v>
      </c>
      <c r="E16" s="3" t="s">
        <v>718</v>
      </c>
      <c r="F16" s="3" t="s">
        <v>128</v>
      </c>
      <c r="H16" s="3" t="s">
        <v>717</v>
      </c>
      <c r="I16" s="3" t="s">
        <v>128</v>
      </c>
      <c r="J16" s="36"/>
    </row>
    <row r="17" spans="2:9" x14ac:dyDescent="0.3">
      <c r="B17" s="4">
        <v>100</v>
      </c>
      <c r="C17" s="37" t="s">
        <v>719</v>
      </c>
      <c r="D17" s="4" t="s">
        <v>720</v>
      </c>
      <c r="E17" s="4">
        <v>3</v>
      </c>
      <c r="F17" s="4">
        <v>1200</v>
      </c>
      <c r="H17" s="4" t="s">
        <v>721</v>
      </c>
      <c r="I17" s="4">
        <f>VLOOKUP(H17,D16:F22,3,0)</f>
        <v>6500</v>
      </c>
    </row>
    <row r="18" spans="2:9" x14ac:dyDescent="0.3">
      <c r="B18" s="4">
        <v>101</v>
      </c>
      <c r="C18" s="37" t="s">
        <v>722</v>
      </c>
      <c r="D18" s="4" t="s">
        <v>723</v>
      </c>
      <c r="E18" s="4">
        <v>5</v>
      </c>
      <c r="F18" s="4">
        <v>5000</v>
      </c>
    </row>
    <row r="19" spans="2:9" x14ac:dyDescent="0.3">
      <c r="B19" s="4">
        <v>102</v>
      </c>
      <c r="C19" s="37" t="s">
        <v>724</v>
      </c>
      <c r="D19" s="4" t="s">
        <v>725</v>
      </c>
      <c r="E19" s="4">
        <v>6</v>
      </c>
      <c r="F19" s="4">
        <v>230</v>
      </c>
      <c r="H19" s="3" t="s">
        <v>717</v>
      </c>
      <c r="I19" s="3" t="s">
        <v>594</v>
      </c>
    </row>
    <row r="20" spans="2:9" x14ac:dyDescent="0.3">
      <c r="B20" s="4">
        <v>103</v>
      </c>
      <c r="C20" s="37" t="s">
        <v>726</v>
      </c>
      <c r="D20" s="4" t="s">
        <v>721</v>
      </c>
      <c r="E20" s="4">
        <v>7</v>
      </c>
      <c r="F20" s="4">
        <v>6500</v>
      </c>
      <c r="H20" s="4" t="s">
        <v>721</v>
      </c>
      <c r="I20" s="4"/>
    </row>
    <row r="21" spans="2:9" x14ac:dyDescent="0.3">
      <c r="B21" s="4">
        <v>104</v>
      </c>
      <c r="C21" s="37" t="s">
        <v>727</v>
      </c>
      <c r="D21" s="4" t="s">
        <v>728</v>
      </c>
      <c r="E21" s="4">
        <v>4</v>
      </c>
      <c r="F21" s="4">
        <v>45000</v>
      </c>
    </row>
    <row r="22" spans="2:9" x14ac:dyDescent="0.3">
      <c r="B22" s="4">
        <v>105</v>
      </c>
      <c r="C22" s="37" t="s">
        <v>729</v>
      </c>
      <c r="D22" s="4" t="s">
        <v>730</v>
      </c>
      <c r="E22" s="4">
        <v>5</v>
      </c>
      <c r="F22" s="4">
        <v>3000</v>
      </c>
    </row>
    <row r="23" spans="2:9" x14ac:dyDescent="0.3">
      <c r="B23" s="28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4">
        <v>64</v>
      </c>
      <c r="B1" s="1" t="s">
        <v>731</v>
      </c>
    </row>
    <row r="2" spans="1:11" x14ac:dyDescent="0.3">
      <c r="A2" s="35" t="s">
        <v>2</v>
      </c>
    </row>
    <row r="3" spans="1:11" x14ac:dyDescent="0.3">
      <c r="B3" s="12" t="s">
        <v>716</v>
      </c>
      <c r="C3" s="32">
        <v>100</v>
      </c>
      <c r="D3" s="32">
        <v>101</v>
      </c>
      <c r="E3" s="32">
        <v>102</v>
      </c>
      <c r="F3" s="32">
        <v>103</v>
      </c>
      <c r="G3" s="32">
        <v>104</v>
      </c>
      <c r="H3" s="32">
        <v>105</v>
      </c>
    </row>
    <row r="4" spans="1:11" x14ac:dyDescent="0.3">
      <c r="B4" s="12" t="s">
        <v>594</v>
      </c>
      <c r="C4" s="57" t="s">
        <v>732</v>
      </c>
      <c r="D4" s="37" t="s">
        <v>733</v>
      </c>
      <c r="E4" s="37" t="s">
        <v>734</v>
      </c>
      <c r="F4" s="37" t="s">
        <v>735</v>
      </c>
      <c r="G4" s="37" t="s">
        <v>736</v>
      </c>
      <c r="H4" s="37" t="s">
        <v>737</v>
      </c>
      <c r="K4" s="36"/>
    </row>
    <row r="5" spans="1:11" x14ac:dyDescent="0.3">
      <c r="B5" s="12" t="s">
        <v>717</v>
      </c>
      <c r="C5" s="32" t="s">
        <v>720</v>
      </c>
      <c r="D5" s="32" t="s">
        <v>723</v>
      </c>
      <c r="E5" s="32" t="s">
        <v>725</v>
      </c>
      <c r="F5" s="32" t="s">
        <v>721</v>
      </c>
      <c r="G5" s="32" t="s">
        <v>728</v>
      </c>
      <c r="H5" s="32" t="s">
        <v>730</v>
      </c>
    </row>
    <row r="6" spans="1:11" x14ac:dyDescent="0.3">
      <c r="B6" s="12" t="s">
        <v>718</v>
      </c>
      <c r="C6" s="32">
        <v>3</v>
      </c>
      <c r="D6" s="32">
        <v>5</v>
      </c>
      <c r="E6" s="32">
        <v>6</v>
      </c>
      <c r="F6" s="32">
        <v>7</v>
      </c>
      <c r="G6" s="32">
        <v>4</v>
      </c>
      <c r="H6" s="32">
        <v>5</v>
      </c>
    </row>
    <row r="7" spans="1:11" x14ac:dyDescent="0.3">
      <c r="B7" s="12" t="s">
        <v>128</v>
      </c>
      <c r="C7" s="32">
        <v>1200</v>
      </c>
      <c r="D7" s="32">
        <v>5000</v>
      </c>
      <c r="E7" s="32">
        <v>230</v>
      </c>
      <c r="F7" s="32">
        <v>6500</v>
      </c>
      <c r="G7" s="32">
        <v>45000</v>
      </c>
      <c r="H7" s="32">
        <v>3000</v>
      </c>
    </row>
    <row r="9" spans="1:11" x14ac:dyDescent="0.3">
      <c r="B9" s="12" t="s">
        <v>716</v>
      </c>
      <c r="C9" s="22">
        <v>104</v>
      </c>
      <c r="E9" s="12" t="s">
        <v>716</v>
      </c>
      <c r="F9" s="22">
        <v>102</v>
      </c>
      <c r="I9" s="12" t="s">
        <v>717</v>
      </c>
      <c r="J9" s="32" t="s">
        <v>723</v>
      </c>
    </row>
    <row r="10" spans="1:11" x14ac:dyDescent="0.3">
      <c r="B10" s="12" t="s">
        <v>128</v>
      </c>
      <c r="C10" s="4">
        <f>HLOOKUP(C9,B3:H7,5,0)</f>
        <v>45000</v>
      </c>
      <c r="E10" s="12" t="s">
        <v>594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717</v>
      </c>
      <c r="F11" s="4" t="str">
        <f>HLOOKUP($F$9,$B$3:$H$7,ROWS($D$9:D11),0)</f>
        <v>P002</v>
      </c>
    </row>
    <row r="12" spans="1:11" x14ac:dyDescent="0.3">
      <c r="B12" s="12" t="s">
        <v>716</v>
      </c>
      <c r="C12" s="22">
        <v>104</v>
      </c>
      <c r="E12" s="12" t="s">
        <v>718</v>
      </c>
      <c r="F12" s="4">
        <f>HLOOKUP($F$9,$B$3:$H$7,ROWS($D$9:D12),0)</f>
        <v>6</v>
      </c>
    </row>
    <row r="13" spans="1:11" x14ac:dyDescent="0.3">
      <c r="B13" s="12" t="s">
        <v>717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4">
        <v>65</v>
      </c>
      <c r="B1" s="1" t="s">
        <v>738</v>
      </c>
    </row>
    <row r="2" spans="1:9" x14ac:dyDescent="0.3">
      <c r="A2" s="35" t="s">
        <v>2</v>
      </c>
    </row>
    <row r="3" spans="1:9" x14ac:dyDescent="0.3">
      <c r="B3" s="3" t="s">
        <v>713</v>
      </c>
      <c r="C3" s="3" t="s">
        <v>594</v>
      </c>
      <c r="D3" s="3" t="s">
        <v>252</v>
      </c>
      <c r="E3" s="3" t="s">
        <v>662</v>
      </c>
      <c r="F3" s="3" t="s">
        <v>714</v>
      </c>
      <c r="H3" s="3" t="s">
        <v>713</v>
      </c>
      <c r="I3" s="3" t="s">
        <v>739</v>
      </c>
    </row>
    <row r="4" spans="1:9" x14ac:dyDescent="0.3">
      <c r="B4" s="4">
        <v>100</v>
      </c>
      <c r="C4" s="49" t="s">
        <v>740</v>
      </c>
      <c r="D4" s="4">
        <v>45000</v>
      </c>
      <c r="E4" s="4" t="s">
        <v>668</v>
      </c>
      <c r="F4" s="25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49" t="s">
        <v>741</v>
      </c>
      <c r="D5" s="4">
        <v>50000</v>
      </c>
      <c r="E5" s="4" t="s">
        <v>665</v>
      </c>
      <c r="F5" s="25">
        <v>45447</v>
      </c>
      <c r="H5" s="47"/>
    </row>
    <row r="6" spans="1:9" x14ac:dyDescent="0.3">
      <c r="B6" s="4">
        <v>102</v>
      </c>
      <c r="C6" s="49" t="s">
        <v>742</v>
      </c>
      <c r="D6" s="4">
        <v>17000</v>
      </c>
      <c r="E6" s="4" t="s">
        <v>667</v>
      </c>
      <c r="F6" s="25">
        <v>44793</v>
      </c>
      <c r="H6" s="48"/>
    </row>
    <row r="7" spans="1:9" x14ac:dyDescent="0.3">
      <c r="B7" s="4">
        <v>103</v>
      </c>
      <c r="C7" s="49" t="s">
        <v>743</v>
      </c>
      <c r="D7" s="4">
        <v>25000</v>
      </c>
      <c r="E7" s="4" t="s">
        <v>668</v>
      </c>
      <c r="F7" s="25">
        <v>43146</v>
      </c>
      <c r="H7" s="48"/>
    </row>
    <row r="8" spans="1:9" x14ac:dyDescent="0.3">
      <c r="B8" s="4">
        <v>104</v>
      </c>
      <c r="C8" s="49" t="s">
        <v>744</v>
      </c>
      <c r="D8" s="4">
        <v>40000</v>
      </c>
      <c r="E8" s="4" t="s">
        <v>369</v>
      </c>
      <c r="F8" s="25">
        <v>44599</v>
      </c>
      <c r="H8" s="48"/>
    </row>
    <row r="9" spans="1:9" x14ac:dyDescent="0.3">
      <c r="B9" s="4">
        <v>105</v>
      </c>
      <c r="C9" s="49" t="s">
        <v>745</v>
      </c>
      <c r="D9" s="4">
        <v>23000</v>
      </c>
      <c r="E9" s="4" t="s">
        <v>369</v>
      </c>
      <c r="F9" s="25">
        <v>44600</v>
      </c>
      <c r="H9" s="48"/>
    </row>
    <row r="10" spans="1:9" x14ac:dyDescent="0.3">
      <c r="B10" s="28"/>
      <c r="H10" s="48"/>
    </row>
    <row r="11" spans="1:9" x14ac:dyDescent="0.3">
      <c r="H11" s="48"/>
    </row>
    <row r="12" spans="1:9" x14ac:dyDescent="0.3">
      <c r="B12" t="s">
        <v>746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4">
        <v>66</v>
      </c>
      <c r="B1" s="1" t="s">
        <v>747</v>
      </c>
    </row>
    <row r="2" spans="1:9" x14ac:dyDescent="0.3">
      <c r="A2" s="35" t="s">
        <v>2</v>
      </c>
    </row>
    <row r="3" spans="1:9" x14ac:dyDescent="0.3">
      <c r="B3" s="3" t="s">
        <v>713</v>
      </c>
      <c r="C3" s="3" t="s">
        <v>594</v>
      </c>
      <c r="D3" s="3" t="s">
        <v>252</v>
      </c>
      <c r="E3" s="3" t="s">
        <v>662</v>
      </c>
      <c r="F3" s="3" t="s">
        <v>714</v>
      </c>
      <c r="H3" s="3" t="s">
        <v>713</v>
      </c>
      <c r="I3" s="3" t="s">
        <v>739</v>
      </c>
    </row>
    <row r="4" spans="1:9" x14ac:dyDescent="0.3">
      <c r="B4" s="4">
        <v>100</v>
      </c>
      <c r="C4" s="49" t="s">
        <v>740</v>
      </c>
      <c r="D4" s="4">
        <v>45000</v>
      </c>
      <c r="E4" s="4" t="s">
        <v>668</v>
      </c>
      <c r="F4" s="25">
        <v>44927</v>
      </c>
      <c r="H4" s="4"/>
      <c r="I4" s="4"/>
    </row>
    <row r="5" spans="1:9" x14ac:dyDescent="0.3">
      <c r="B5" s="4">
        <v>101</v>
      </c>
      <c r="C5" s="49" t="s">
        <v>741</v>
      </c>
      <c r="D5" s="4">
        <v>50000</v>
      </c>
      <c r="E5" s="4" t="s">
        <v>665</v>
      </c>
      <c r="F5" s="25">
        <v>45447</v>
      </c>
    </row>
    <row r="6" spans="1:9" x14ac:dyDescent="0.3">
      <c r="B6" s="4">
        <v>102</v>
      </c>
      <c r="C6" s="49" t="s">
        <v>742</v>
      </c>
      <c r="D6" s="4">
        <v>17000</v>
      </c>
      <c r="E6" s="4" t="s">
        <v>667</v>
      </c>
      <c r="F6" s="25">
        <v>44793</v>
      </c>
    </row>
    <row r="7" spans="1:9" x14ac:dyDescent="0.3">
      <c r="B7" s="4">
        <v>103</v>
      </c>
      <c r="C7" s="49" t="s">
        <v>743</v>
      </c>
      <c r="D7" s="4">
        <v>25000</v>
      </c>
      <c r="E7" s="4" t="s">
        <v>668</v>
      </c>
      <c r="F7" s="25">
        <v>43146</v>
      </c>
    </row>
    <row r="8" spans="1:9" x14ac:dyDescent="0.3">
      <c r="B8" s="4">
        <v>104</v>
      </c>
      <c r="C8" s="49" t="s">
        <v>744</v>
      </c>
      <c r="D8" s="4">
        <v>40000</v>
      </c>
      <c r="E8" s="4" t="s">
        <v>369</v>
      </c>
      <c r="F8" s="25">
        <v>44599</v>
      </c>
    </row>
    <row r="9" spans="1:9" x14ac:dyDescent="0.3">
      <c r="B9" s="4">
        <v>105</v>
      </c>
      <c r="C9" s="49" t="s">
        <v>745</v>
      </c>
      <c r="D9" s="4">
        <v>23000</v>
      </c>
      <c r="E9" s="4" t="s">
        <v>369</v>
      </c>
      <c r="F9" s="25">
        <v>44600</v>
      </c>
    </row>
    <row r="10" spans="1:9" x14ac:dyDescent="0.3">
      <c r="B10" s="28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4">
        <v>67</v>
      </c>
      <c r="B1" s="1" t="s">
        <v>748</v>
      </c>
    </row>
    <row r="2" spans="1:9" ht="16.5" customHeight="1" x14ac:dyDescent="0.3">
      <c r="A2" s="35" t="s">
        <v>2</v>
      </c>
    </row>
    <row r="3" spans="1:9" x14ac:dyDescent="0.3">
      <c r="B3" s="3" t="s">
        <v>716</v>
      </c>
      <c r="C3" s="3" t="s">
        <v>594</v>
      </c>
      <c r="D3" s="3" t="s">
        <v>717</v>
      </c>
      <c r="E3" s="3" t="s">
        <v>718</v>
      </c>
      <c r="F3" s="3" t="s">
        <v>128</v>
      </c>
      <c r="H3" s="3" t="s">
        <v>716</v>
      </c>
      <c r="I3" s="3" t="s">
        <v>128</v>
      </c>
    </row>
    <row r="4" spans="1:9" x14ac:dyDescent="0.3">
      <c r="B4" s="4">
        <v>100</v>
      </c>
      <c r="C4" s="49" t="s">
        <v>749</v>
      </c>
      <c r="D4" s="4" t="s">
        <v>720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49" t="s">
        <v>750</v>
      </c>
      <c r="D5" s="4" t="s">
        <v>723</v>
      </c>
      <c r="E5" s="4">
        <v>5</v>
      </c>
      <c r="F5" s="4">
        <v>5000</v>
      </c>
    </row>
    <row r="6" spans="1:9" x14ac:dyDescent="0.3">
      <c r="B6" s="4">
        <v>102</v>
      </c>
      <c r="C6" s="49" t="s">
        <v>751</v>
      </c>
      <c r="D6" s="4" t="s">
        <v>725</v>
      </c>
      <c r="E6" s="4">
        <v>6</v>
      </c>
      <c r="F6" s="4">
        <v>230</v>
      </c>
      <c r="H6" s="3" t="s">
        <v>717</v>
      </c>
      <c r="I6" s="3" t="s">
        <v>716</v>
      </c>
    </row>
    <row r="7" spans="1:9" x14ac:dyDescent="0.3">
      <c r="B7" s="4">
        <v>103</v>
      </c>
      <c r="C7" s="49" t="s">
        <v>752</v>
      </c>
      <c r="D7" s="4" t="s">
        <v>721</v>
      </c>
      <c r="E7" s="4">
        <v>7</v>
      </c>
      <c r="F7" s="4">
        <v>6500</v>
      </c>
      <c r="H7" s="4" t="s">
        <v>725</v>
      </c>
      <c r="I7">
        <f>INDEX(B3:F9,MATCH(H7,D3:D9,0),1)</f>
        <v>102</v>
      </c>
    </row>
    <row r="8" spans="1:9" x14ac:dyDescent="0.3">
      <c r="B8" s="4">
        <v>104</v>
      </c>
      <c r="C8" s="49" t="s">
        <v>753</v>
      </c>
      <c r="D8" s="4" t="s">
        <v>728</v>
      </c>
      <c r="E8" s="4">
        <v>4</v>
      </c>
      <c r="F8" s="4">
        <v>45000</v>
      </c>
    </row>
    <row r="9" spans="1:9" x14ac:dyDescent="0.3">
      <c r="B9" s="4">
        <v>105</v>
      </c>
      <c r="C9" s="49" t="s">
        <v>754</v>
      </c>
      <c r="D9" s="4" t="s">
        <v>730</v>
      </c>
      <c r="E9" s="4">
        <v>5</v>
      </c>
      <c r="F9" s="4">
        <v>3000</v>
      </c>
    </row>
    <row r="10" spans="1:9" ht="7.5" customHeight="1" x14ac:dyDescent="0.3">
      <c r="B10" s="28"/>
    </row>
    <row r="11" spans="1:9" x14ac:dyDescent="0.3">
      <c r="B11" s="3" t="s">
        <v>716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713</v>
      </c>
      <c r="C14" s="3" t="s">
        <v>594</v>
      </c>
      <c r="D14" s="3" t="s">
        <v>252</v>
      </c>
      <c r="E14" s="3" t="s">
        <v>662</v>
      </c>
      <c r="F14" s="3" t="s">
        <v>714</v>
      </c>
    </row>
    <row r="15" spans="1:9" x14ac:dyDescent="0.3">
      <c r="B15" s="4">
        <f t="array" ref="B15:F15">INDEX(B3:F9,MATCH(B12,B3:B9,0),)</f>
        <v>103</v>
      </c>
      <c r="C15" s="25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4">
        <v>68</v>
      </c>
      <c r="B1" s="1" t="s">
        <v>755</v>
      </c>
    </row>
    <row r="2" spans="1:9" ht="16.5" customHeight="1" x14ac:dyDescent="0.3">
      <c r="A2" s="35" t="s">
        <v>2</v>
      </c>
    </row>
    <row r="3" spans="1:9" x14ac:dyDescent="0.3">
      <c r="B3" s="3" t="s">
        <v>716</v>
      </c>
      <c r="C3" s="40" t="s">
        <v>594</v>
      </c>
      <c r="D3" s="3" t="s">
        <v>717</v>
      </c>
      <c r="E3" s="3" t="s">
        <v>718</v>
      </c>
      <c r="F3" s="3" t="s">
        <v>128</v>
      </c>
      <c r="H3" s="3" t="s">
        <v>717</v>
      </c>
      <c r="I3" s="3" t="s">
        <v>716</v>
      </c>
    </row>
    <row r="4" spans="1:9" x14ac:dyDescent="0.3">
      <c r="B4" s="21">
        <v>100</v>
      </c>
      <c r="C4" s="37" t="s">
        <v>749</v>
      </c>
      <c r="D4" s="41" t="s">
        <v>720</v>
      </c>
      <c r="E4" s="4">
        <v>3</v>
      </c>
      <c r="F4" s="4">
        <v>1200</v>
      </c>
      <c r="H4" s="4" t="s">
        <v>725</v>
      </c>
      <c r="I4" s="4">
        <f>_xlfn.XLOOKUP(H4,D3:D9,B3:B9)</f>
        <v>102</v>
      </c>
    </row>
    <row r="5" spans="1:9" x14ac:dyDescent="0.3">
      <c r="B5" s="21">
        <v>101</v>
      </c>
      <c r="C5" s="37" t="s">
        <v>756</v>
      </c>
      <c r="D5" s="41" t="s">
        <v>723</v>
      </c>
      <c r="E5" s="4">
        <v>5</v>
      </c>
      <c r="F5" s="4">
        <v>5000</v>
      </c>
    </row>
    <row r="6" spans="1:9" x14ac:dyDescent="0.3">
      <c r="B6" s="21">
        <v>102</v>
      </c>
      <c r="C6" s="37" t="s">
        <v>751</v>
      </c>
      <c r="D6" s="41" t="s">
        <v>725</v>
      </c>
      <c r="E6" s="4">
        <v>6</v>
      </c>
      <c r="F6" s="4">
        <v>230</v>
      </c>
    </row>
    <row r="7" spans="1:9" x14ac:dyDescent="0.3">
      <c r="B7" s="21">
        <v>103</v>
      </c>
      <c r="C7" s="37" t="s">
        <v>752</v>
      </c>
      <c r="D7" s="41" t="s">
        <v>721</v>
      </c>
      <c r="E7" s="4">
        <v>7</v>
      </c>
      <c r="F7" s="4">
        <v>6500</v>
      </c>
    </row>
    <row r="8" spans="1:9" x14ac:dyDescent="0.3">
      <c r="B8" s="21">
        <v>102</v>
      </c>
      <c r="C8" s="37" t="s">
        <v>753</v>
      </c>
      <c r="D8" s="41" t="s">
        <v>728</v>
      </c>
      <c r="E8" s="4">
        <v>4</v>
      </c>
      <c r="F8" s="4">
        <v>45000</v>
      </c>
    </row>
    <row r="9" spans="1:9" x14ac:dyDescent="0.3">
      <c r="B9" s="21">
        <v>105</v>
      </c>
      <c r="C9" s="37" t="s">
        <v>754</v>
      </c>
      <c r="D9" s="41" t="s">
        <v>730</v>
      </c>
      <c r="E9" s="4">
        <v>5</v>
      </c>
      <c r="F9" s="4">
        <v>3000</v>
      </c>
    </row>
    <row r="10" spans="1:9" ht="16.5" customHeight="1" x14ac:dyDescent="0.3">
      <c r="B10" s="28"/>
    </row>
    <row r="11" spans="1:9" x14ac:dyDescent="0.3">
      <c r="B11" s="3" t="s">
        <v>716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716</v>
      </c>
      <c r="C17" s="3" t="s">
        <v>594</v>
      </c>
      <c r="D17" s="3" t="s">
        <v>717</v>
      </c>
      <c r="E17" s="3" t="s">
        <v>718</v>
      </c>
      <c r="F17" s="3" t="s">
        <v>128</v>
      </c>
    </row>
    <row r="18" spans="2:8" x14ac:dyDescent="0.3">
      <c r="B18" s="4">
        <v>100</v>
      </c>
      <c r="C18" s="4" t="s">
        <v>757</v>
      </c>
      <c r="D18" s="4" t="s">
        <v>720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758</v>
      </c>
      <c r="D19" s="4" t="s">
        <v>723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725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759</v>
      </c>
      <c r="D21" s="4" t="s">
        <v>721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760</v>
      </c>
      <c r="D22" s="4" t="s">
        <v>728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761</v>
      </c>
      <c r="D23" s="4" t="s">
        <v>730</v>
      </c>
      <c r="E23" s="4">
        <v>5</v>
      </c>
      <c r="F23" s="4">
        <v>3000</v>
      </c>
    </row>
    <row r="25" spans="2:8" x14ac:dyDescent="0.3">
      <c r="B25" s="3" t="s">
        <v>716</v>
      </c>
      <c r="C25" s="3" t="s">
        <v>594</v>
      </c>
      <c r="D25" s="3" t="s">
        <v>717</v>
      </c>
      <c r="E25" s="3" t="s">
        <v>718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716</v>
      </c>
      <c r="C30" s="32">
        <v>100</v>
      </c>
      <c r="D30" s="32">
        <v>101</v>
      </c>
      <c r="E30" s="32">
        <v>102</v>
      </c>
      <c r="F30" s="32">
        <v>103</v>
      </c>
      <c r="G30" s="32">
        <v>104</v>
      </c>
      <c r="H30" s="32">
        <v>105</v>
      </c>
    </row>
    <row r="31" spans="2:8" x14ac:dyDescent="0.3">
      <c r="B31" s="12" t="s">
        <v>594</v>
      </c>
      <c r="C31" s="32" t="s">
        <v>757</v>
      </c>
      <c r="D31" s="32" t="s">
        <v>758</v>
      </c>
      <c r="E31" s="32" t="s">
        <v>99</v>
      </c>
      <c r="F31" s="32" t="s">
        <v>759</v>
      </c>
      <c r="G31" s="32" t="s">
        <v>760</v>
      </c>
      <c r="H31" s="32" t="s">
        <v>761</v>
      </c>
    </row>
    <row r="32" spans="2:8" x14ac:dyDescent="0.3">
      <c r="B32" s="12" t="s">
        <v>717</v>
      </c>
      <c r="C32" s="32" t="s">
        <v>720</v>
      </c>
      <c r="D32" s="32" t="s">
        <v>723</v>
      </c>
      <c r="E32" s="32" t="s">
        <v>725</v>
      </c>
      <c r="F32" s="32" t="s">
        <v>721</v>
      </c>
      <c r="G32" s="32" t="s">
        <v>728</v>
      </c>
      <c r="H32" s="32" t="s">
        <v>730</v>
      </c>
    </row>
    <row r="33" spans="2:8" x14ac:dyDescent="0.3">
      <c r="B33" s="12" t="s">
        <v>718</v>
      </c>
      <c r="C33" s="32">
        <v>3</v>
      </c>
      <c r="D33" s="32">
        <v>5</v>
      </c>
      <c r="E33" s="32">
        <v>6</v>
      </c>
      <c r="F33" s="32">
        <v>7</v>
      </c>
      <c r="G33" s="32">
        <v>4</v>
      </c>
      <c r="H33" s="32">
        <v>5</v>
      </c>
    </row>
    <row r="34" spans="2:8" x14ac:dyDescent="0.3">
      <c r="B34" s="12" t="s">
        <v>128</v>
      </c>
      <c r="C34" s="32">
        <v>1200</v>
      </c>
      <c r="D34" s="32">
        <v>5000</v>
      </c>
      <c r="E34" s="32">
        <v>230</v>
      </c>
      <c r="F34" s="32">
        <v>6500</v>
      </c>
      <c r="G34" s="32">
        <v>45000</v>
      </c>
      <c r="H34" s="32">
        <v>3000</v>
      </c>
    </row>
    <row r="36" spans="2:8" x14ac:dyDescent="0.3">
      <c r="B36" s="12" t="s">
        <v>716</v>
      </c>
      <c r="C36" s="32">
        <v>101</v>
      </c>
      <c r="E36" s="12" t="s">
        <v>716</v>
      </c>
      <c r="F36" s="32">
        <v>103</v>
      </c>
    </row>
    <row r="37" spans="2:8" x14ac:dyDescent="0.3">
      <c r="B37" s="12" t="s">
        <v>717</v>
      </c>
      <c r="C37" s="4" t="str">
        <f>_xlfn.XLOOKUP(C36,B30:H30,B32:H32)</f>
        <v>P004</v>
      </c>
      <c r="E37" s="12" t="s">
        <v>594</v>
      </c>
      <c r="F37" s="4" t="str">
        <f>_xlfn.XLOOKUP($F$36,$B$30:$H$30,B31:H31)</f>
        <v>Priner</v>
      </c>
    </row>
    <row r="38" spans="2:8" x14ac:dyDescent="0.3">
      <c r="E38" s="12" t="s">
        <v>717</v>
      </c>
      <c r="F38" s="4" t="str">
        <f>_xlfn.XLOOKUP($F$36,$B$30:$H$30,B32:H32)</f>
        <v>P003</v>
      </c>
    </row>
    <row r="39" spans="2:8" x14ac:dyDescent="0.3">
      <c r="E39" s="12" t="s">
        <v>718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4">
        <v>69</v>
      </c>
      <c r="B1" s="1" t="s">
        <v>75</v>
      </c>
    </row>
    <row r="2" spans="1:18" ht="16.5" customHeight="1" thickBot="1" x14ac:dyDescent="0.35">
      <c r="A2" s="35" t="s">
        <v>2</v>
      </c>
    </row>
    <row r="3" spans="1:18" ht="27.75" thickTop="1" x14ac:dyDescent="0.3">
      <c r="B3" s="120" t="s">
        <v>762</v>
      </c>
      <c r="C3" s="121" t="s">
        <v>763</v>
      </c>
      <c r="D3" s="121" t="s">
        <v>764</v>
      </c>
      <c r="E3" s="121" t="s">
        <v>765</v>
      </c>
      <c r="F3" s="121" t="s">
        <v>766</v>
      </c>
      <c r="G3" s="121" t="s">
        <v>767</v>
      </c>
      <c r="H3" s="121" t="s">
        <v>768</v>
      </c>
      <c r="I3" s="122" t="s">
        <v>769</v>
      </c>
      <c r="K3" s="111" t="s">
        <v>770</v>
      </c>
      <c r="L3" s="111"/>
      <c r="M3" s="111"/>
      <c r="N3" s="111"/>
      <c r="O3" s="111"/>
      <c r="P3" s="111"/>
      <c r="Q3" s="111"/>
      <c r="R3" s="112"/>
    </row>
    <row r="4" spans="1:18" ht="19.5" thickBot="1" x14ac:dyDescent="0.35">
      <c r="B4" s="104" t="s">
        <v>771</v>
      </c>
      <c r="C4" s="105">
        <v>200</v>
      </c>
      <c r="D4" s="105">
        <v>3000</v>
      </c>
      <c r="E4" s="105" t="s">
        <v>772</v>
      </c>
      <c r="F4" s="106">
        <v>4.5</v>
      </c>
      <c r="G4" s="105">
        <v>4</v>
      </c>
      <c r="H4" s="105">
        <v>3</v>
      </c>
      <c r="I4" s="107">
        <f t="shared" ref="I4:I19" si="0">F4*G4*H4</f>
        <v>54</v>
      </c>
      <c r="R4" s="113"/>
    </row>
    <row r="5" spans="1:18" ht="19.5" thickTop="1" x14ac:dyDescent="0.3">
      <c r="B5" s="104" t="s">
        <v>773</v>
      </c>
      <c r="C5" s="105">
        <v>100</v>
      </c>
      <c r="D5" s="105">
        <v>2000</v>
      </c>
      <c r="E5" s="105" t="s">
        <v>772</v>
      </c>
      <c r="F5" s="106">
        <v>2</v>
      </c>
      <c r="G5" s="105">
        <v>15</v>
      </c>
      <c r="H5" s="105">
        <v>2</v>
      </c>
      <c r="I5" s="107">
        <f t="shared" si="0"/>
        <v>60</v>
      </c>
      <c r="N5" s="114" t="s">
        <v>765</v>
      </c>
      <c r="O5" s="115" t="s">
        <v>774</v>
      </c>
      <c r="R5" s="113"/>
    </row>
    <row r="6" spans="1:18" ht="19.5" thickBot="1" x14ac:dyDescent="0.35">
      <c r="B6" s="104" t="s">
        <v>775</v>
      </c>
      <c r="C6" s="105">
        <v>60</v>
      </c>
      <c r="D6" s="105"/>
      <c r="E6" s="105"/>
      <c r="F6" s="106"/>
      <c r="G6" s="105"/>
      <c r="H6" s="105"/>
      <c r="I6" s="107">
        <f t="shared" si="0"/>
        <v>0</v>
      </c>
      <c r="K6" s="148" t="s">
        <v>776</v>
      </c>
      <c r="L6" s="148"/>
      <c r="M6" s="149"/>
      <c r="N6" s="116" t="s">
        <v>772</v>
      </c>
      <c r="R6" s="113"/>
    </row>
    <row r="7" spans="1:18" ht="19.5" thickTop="1" x14ac:dyDescent="0.3">
      <c r="B7" s="104" t="s">
        <v>777</v>
      </c>
      <c r="C7" s="105">
        <v>10</v>
      </c>
      <c r="D7" s="105">
        <v>8000</v>
      </c>
      <c r="E7" s="105" t="s">
        <v>778</v>
      </c>
      <c r="F7" s="106">
        <v>0.8</v>
      </c>
      <c r="G7" s="105">
        <v>25</v>
      </c>
      <c r="H7" s="105">
        <v>6</v>
      </c>
      <c r="I7" s="107">
        <f t="shared" si="0"/>
        <v>120</v>
      </c>
      <c r="R7" s="113"/>
    </row>
    <row r="8" spans="1:18" ht="16.5" customHeight="1" x14ac:dyDescent="0.3">
      <c r="B8" s="104" t="s">
        <v>771</v>
      </c>
      <c r="C8" s="105">
        <v>80</v>
      </c>
      <c r="D8" s="105">
        <v>1000</v>
      </c>
      <c r="E8" s="105" t="s">
        <v>772</v>
      </c>
      <c r="F8" s="106">
        <v>0.2</v>
      </c>
      <c r="G8" s="105">
        <v>40</v>
      </c>
      <c r="H8" s="105">
        <v>3</v>
      </c>
      <c r="I8" s="107">
        <f t="shared" si="0"/>
        <v>24</v>
      </c>
      <c r="K8" t="str">
        <f>"The SUM value of "&amp;N6&amp;" is : "</f>
        <v xml:space="preserve">The SUM value of Horizon is : </v>
      </c>
      <c r="M8" s="119"/>
      <c r="N8" s="117"/>
      <c r="O8" s="118"/>
      <c r="R8" s="113"/>
    </row>
    <row r="9" spans="1:18" x14ac:dyDescent="0.3">
      <c r="B9" s="104" t="s">
        <v>775</v>
      </c>
      <c r="C9" s="105">
        <v>100</v>
      </c>
      <c r="D9" s="105" t="s">
        <v>779</v>
      </c>
      <c r="E9" s="105" t="s">
        <v>772</v>
      </c>
      <c r="F9" s="106">
        <v>1.25</v>
      </c>
      <c r="G9" s="105">
        <v>10</v>
      </c>
      <c r="H9" s="105">
        <v>4</v>
      </c>
      <c r="I9" s="107">
        <f t="shared" si="0"/>
        <v>50</v>
      </c>
      <c r="R9" s="113"/>
    </row>
    <row r="10" spans="1:18" x14ac:dyDescent="0.3">
      <c r="B10" s="104" t="s">
        <v>775</v>
      </c>
      <c r="C10" s="105">
        <v>200</v>
      </c>
      <c r="D10" s="105">
        <v>3000</v>
      </c>
      <c r="E10" s="105" t="s">
        <v>772</v>
      </c>
      <c r="F10" s="106">
        <v>2.5</v>
      </c>
      <c r="G10" s="105">
        <v>15</v>
      </c>
      <c r="H10" s="105">
        <v>1</v>
      </c>
      <c r="I10" s="107">
        <f t="shared" si="0"/>
        <v>37.5</v>
      </c>
    </row>
    <row r="11" spans="1:18" x14ac:dyDescent="0.3">
      <c r="B11" s="104" t="s">
        <v>777</v>
      </c>
      <c r="C11" s="105">
        <v>25</v>
      </c>
      <c r="D11" s="105" t="s">
        <v>779</v>
      </c>
      <c r="E11" s="105" t="s">
        <v>778</v>
      </c>
      <c r="F11" s="106">
        <v>0.5</v>
      </c>
      <c r="G11" s="105">
        <v>10</v>
      </c>
      <c r="H11" s="105">
        <v>3</v>
      </c>
      <c r="I11" s="107">
        <f t="shared" si="0"/>
        <v>15</v>
      </c>
    </row>
    <row r="12" spans="1:18" x14ac:dyDescent="0.3">
      <c r="B12" s="104" t="s">
        <v>771</v>
      </c>
      <c r="C12" s="105">
        <v>200</v>
      </c>
      <c r="D12" s="105">
        <v>3000</v>
      </c>
      <c r="E12" s="105" t="s">
        <v>778</v>
      </c>
      <c r="F12" s="106">
        <v>5</v>
      </c>
      <c r="G12" s="105">
        <v>3</v>
      </c>
      <c r="H12" s="105">
        <v>2</v>
      </c>
      <c r="I12" s="107">
        <f t="shared" si="0"/>
        <v>30</v>
      </c>
    </row>
    <row r="13" spans="1:18" x14ac:dyDescent="0.3">
      <c r="B13" s="104" t="s">
        <v>773</v>
      </c>
      <c r="C13" s="105">
        <v>100</v>
      </c>
      <c r="D13" s="105">
        <v>2000</v>
      </c>
      <c r="E13" s="105" t="s">
        <v>778</v>
      </c>
      <c r="F13" s="106">
        <v>1.8</v>
      </c>
      <c r="G13" s="105">
        <v>20</v>
      </c>
      <c r="H13" s="105">
        <v>5</v>
      </c>
      <c r="I13" s="107">
        <f t="shared" si="0"/>
        <v>180</v>
      </c>
    </row>
    <row r="14" spans="1:18" x14ac:dyDescent="0.3">
      <c r="B14" s="104" t="s">
        <v>771</v>
      </c>
      <c r="C14" s="105">
        <v>100</v>
      </c>
      <c r="D14" s="105" t="s">
        <v>779</v>
      </c>
      <c r="E14" s="105" t="s">
        <v>778</v>
      </c>
      <c r="F14" s="106">
        <v>0.25</v>
      </c>
      <c r="G14" s="105">
        <v>10</v>
      </c>
      <c r="H14" s="105">
        <v>5</v>
      </c>
      <c r="I14" s="107">
        <f t="shared" si="0"/>
        <v>12.5</v>
      </c>
    </row>
    <row r="15" spans="1:18" x14ac:dyDescent="0.3">
      <c r="B15" s="104" t="s">
        <v>771</v>
      </c>
      <c r="C15" s="105">
        <v>10</v>
      </c>
      <c r="D15" s="105">
        <v>800</v>
      </c>
      <c r="E15" s="105" t="s">
        <v>772</v>
      </c>
      <c r="F15" s="106">
        <v>0.2</v>
      </c>
      <c r="G15" s="105">
        <v>25</v>
      </c>
      <c r="H15" s="105">
        <v>2</v>
      </c>
      <c r="I15" s="107">
        <f t="shared" si="0"/>
        <v>10</v>
      </c>
      <c r="K15" s="150" t="s">
        <v>780</v>
      </c>
      <c r="L15" s="150"/>
    </row>
    <row r="16" spans="1:18" x14ac:dyDescent="0.3">
      <c r="B16" s="104" t="s">
        <v>771</v>
      </c>
      <c r="C16" s="105">
        <v>60</v>
      </c>
      <c r="D16" s="105">
        <v>1000</v>
      </c>
      <c r="E16" s="105" t="s">
        <v>778</v>
      </c>
      <c r="F16" s="106">
        <v>0.15</v>
      </c>
      <c r="G16" s="105">
        <v>25</v>
      </c>
      <c r="H16" s="105">
        <v>1</v>
      </c>
      <c r="I16" s="107">
        <f t="shared" si="0"/>
        <v>3.75</v>
      </c>
      <c r="K16" s="4" t="s">
        <v>772</v>
      </c>
      <c r="L16" s="4" t="s">
        <v>771</v>
      </c>
    </row>
    <row r="17" spans="2:12" x14ac:dyDescent="0.3">
      <c r="B17" s="104" t="s">
        <v>771</v>
      </c>
      <c r="C17" s="105">
        <v>80</v>
      </c>
      <c r="D17" s="105">
        <v>1000</v>
      </c>
      <c r="E17" s="105" t="s">
        <v>778</v>
      </c>
      <c r="F17" s="106">
        <v>0.2</v>
      </c>
      <c r="G17" s="105">
        <v>30</v>
      </c>
      <c r="H17" s="105">
        <v>2</v>
      </c>
      <c r="I17" s="107">
        <f t="shared" si="0"/>
        <v>12</v>
      </c>
      <c r="K17" s="4" t="s">
        <v>778</v>
      </c>
      <c r="L17" s="4" t="s">
        <v>773</v>
      </c>
    </row>
    <row r="18" spans="2:12" x14ac:dyDescent="0.3">
      <c r="B18" s="104" t="s">
        <v>771</v>
      </c>
      <c r="C18" s="105">
        <v>100</v>
      </c>
      <c r="D18" s="105">
        <v>2000</v>
      </c>
      <c r="E18" s="105" t="s">
        <v>772</v>
      </c>
      <c r="F18" s="106">
        <v>0.8</v>
      </c>
      <c r="G18" s="105">
        <v>10</v>
      </c>
      <c r="H18" s="105">
        <v>5</v>
      </c>
      <c r="I18" s="107">
        <f t="shared" si="0"/>
        <v>40</v>
      </c>
      <c r="K18" s="4"/>
      <c r="L18" s="4" t="s">
        <v>775</v>
      </c>
    </row>
    <row r="19" spans="2:12" ht="19.5" thickBot="1" x14ac:dyDescent="0.35">
      <c r="B19" s="108" t="s">
        <v>771</v>
      </c>
      <c r="C19" s="109">
        <v>40</v>
      </c>
      <c r="D19" s="109">
        <v>1000</v>
      </c>
      <c r="E19" s="109" t="s">
        <v>772</v>
      </c>
      <c r="F19" s="110">
        <v>0.1</v>
      </c>
      <c r="G19" s="109">
        <v>20</v>
      </c>
      <c r="H19" s="109">
        <v>5</v>
      </c>
      <c r="I19" s="107">
        <f t="shared" si="0"/>
        <v>10</v>
      </c>
      <c r="K19" s="4"/>
      <c r="L19" s="4" t="s">
        <v>777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70</v>
      </c>
      <c r="B1" s="151" t="s">
        <v>76</v>
      </c>
      <c r="C1" s="151"/>
    </row>
    <row r="2" spans="1:13" x14ac:dyDescent="0.3">
      <c r="A2" s="35" t="s">
        <v>2</v>
      </c>
    </row>
    <row r="3" spans="1:13" x14ac:dyDescent="0.3">
      <c r="B3" s="3" t="s">
        <v>781</v>
      </c>
      <c r="C3" s="3" t="s">
        <v>83</v>
      </c>
      <c r="D3" s="3" t="s">
        <v>84</v>
      </c>
      <c r="E3" s="40" t="s">
        <v>96</v>
      </c>
      <c r="G3" s="3" t="s">
        <v>83</v>
      </c>
      <c r="H3" s="3" t="s">
        <v>84</v>
      </c>
      <c r="K3" s="36"/>
      <c r="L3" s="36"/>
      <c r="M3" s="36"/>
    </row>
    <row r="4" spans="1:13" x14ac:dyDescent="0.3">
      <c r="B4" s="4" t="s">
        <v>720</v>
      </c>
      <c r="C4" s="37" t="s">
        <v>782</v>
      </c>
      <c r="D4" s="21" t="s">
        <v>90</v>
      </c>
      <c r="E4" s="37">
        <v>18500</v>
      </c>
      <c r="G4" s="4" t="s">
        <v>783</v>
      </c>
      <c r="H4" s="4" t="s">
        <v>545</v>
      </c>
    </row>
    <row r="5" spans="1:13" x14ac:dyDescent="0.3">
      <c r="B5" s="4" t="s">
        <v>725</v>
      </c>
      <c r="C5" s="37" t="s">
        <v>130</v>
      </c>
      <c r="D5" s="21" t="s">
        <v>92</v>
      </c>
      <c r="E5" s="37">
        <v>6200</v>
      </c>
    </row>
    <row r="6" spans="1:13" x14ac:dyDescent="0.3">
      <c r="B6" s="4" t="s">
        <v>721</v>
      </c>
      <c r="C6" s="37" t="s">
        <v>120</v>
      </c>
      <c r="D6" s="21" t="s">
        <v>94</v>
      </c>
      <c r="E6" s="37">
        <v>32500</v>
      </c>
      <c r="G6" s="3" t="s">
        <v>781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723</v>
      </c>
      <c r="C7" s="37" t="s">
        <v>782</v>
      </c>
      <c r="D7" s="21" t="s">
        <v>90</v>
      </c>
      <c r="E7" s="37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728</v>
      </c>
      <c r="C8" s="37" t="s">
        <v>130</v>
      </c>
      <c r="D8" s="21" t="s">
        <v>92</v>
      </c>
      <c r="E8" s="37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730</v>
      </c>
      <c r="C9" s="37" t="s">
        <v>120</v>
      </c>
      <c r="D9" s="21" t="s">
        <v>94</v>
      </c>
      <c r="E9" s="37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784</v>
      </c>
      <c r="C10" s="37" t="s">
        <v>782</v>
      </c>
      <c r="D10" s="21" t="s">
        <v>90</v>
      </c>
      <c r="E10" s="37">
        <v>27500</v>
      </c>
    </row>
    <row r="11" spans="1:13" x14ac:dyDescent="0.3">
      <c r="B11" s="4" t="s">
        <v>785</v>
      </c>
      <c r="C11" s="37" t="s">
        <v>130</v>
      </c>
      <c r="D11" s="21" t="s">
        <v>92</v>
      </c>
      <c r="E11" s="37">
        <v>6600</v>
      </c>
    </row>
    <row r="12" spans="1:13" x14ac:dyDescent="0.3">
      <c r="B12" s="4" t="s">
        <v>786</v>
      </c>
      <c r="C12" s="37" t="s">
        <v>787</v>
      </c>
      <c r="D12" s="21" t="s">
        <v>90</v>
      </c>
      <c r="E12" s="37">
        <v>6100</v>
      </c>
    </row>
    <row r="13" spans="1:13" x14ac:dyDescent="0.3">
      <c r="B13" s="4" t="s">
        <v>788</v>
      </c>
      <c r="C13" s="37" t="s">
        <v>129</v>
      </c>
      <c r="D13" s="21" t="s">
        <v>90</v>
      </c>
      <c r="E13" s="37">
        <v>28000</v>
      </c>
    </row>
    <row r="16" spans="1:13" x14ac:dyDescent="0.3">
      <c r="B16" s="3" t="s">
        <v>789</v>
      </c>
      <c r="C16" s="3" t="s">
        <v>781</v>
      </c>
      <c r="D16" s="3" t="s">
        <v>83</v>
      </c>
      <c r="E16" s="3" t="s">
        <v>84</v>
      </c>
      <c r="G16" s="3" t="s">
        <v>790</v>
      </c>
      <c r="H16" s="25">
        <v>45292</v>
      </c>
    </row>
    <row r="17" spans="2:10" x14ac:dyDescent="0.3">
      <c r="B17" s="25">
        <v>45292</v>
      </c>
      <c r="C17" s="4" t="s">
        <v>720</v>
      </c>
      <c r="D17" s="37" t="s">
        <v>782</v>
      </c>
      <c r="E17" s="4" t="s">
        <v>90</v>
      </c>
      <c r="G17" s="29" t="s">
        <v>632</v>
      </c>
      <c r="H17" s="25">
        <v>45301</v>
      </c>
    </row>
    <row r="18" spans="2:10" x14ac:dyDescent="0.3">
      <c r="B18" s="25">
        <v>45296</v>
      </c>
      <c r="C18" s="4" t="s">
        <v>725</v>
      </c>
      <c r="D18" s="37" t="s">
        <v>130</v>
      </c>
      <c r="E18" s="4" t="s">
        <v>92</v>
      </c>
    </row>
    <row r="19" spans="2:10" x14ac:dyDescent="0.3">
      <c r="B19" s="25">
        <v>45298</v>
      </c>
      <c r="C19" s="4" t="s">
        <v>721</v>
      </c>
      <c r="D19" s="37" t="s">
        <v>120</v>
      </c>
      <c r="E19" s="4" t="s">
        <v>94</v>
      </c>
      <c r="G19" s="3" t="s">
        <v>789</v>
      </c>
      <c r="H19" s="3" t="s">
        <v>781</v>
      </c>
      <c r="I19" s="3" t="s">
        <v>83</v>
      </c>
      <c r="J19" s="3" t="s">
        <v>84</v>
      </c>
    </row>
    <row r="20" spans="2:10" x14ac:dyDescent="0.3">
      <c r="B20" s="25">
        <v>45306</v>
      </c>
      <c r="C20" s="4" t="s">
        <v>723</v>
      </c>
      <c r="D20" s="37" t="s">
        <v>782</v>
      </c>
      <c r="E20" s="4" t="s">
        <v>90</v>
      </c>
      <c r="G20" s="28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5">
        <v>45307</v>
      </c>
      <c r="C21" s="4" t="s">
        <v>728</v>
      </c>
      <c r="D21" s="37" t="s">
        <v>130</v>
      </c>
      <c r="E21" s="4" t="s">
        <v>92</v>
      </c>
      <c r="G21" s="28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5">
        <v>45308</v>
      </c>
      <c r="C22" s="4" t="s">
        <v>730</v>
      </c>
      <c r="D22" s="37" t="s">
        <v>120</v>
      </c>
      <c r="E22" s="4" t="s">
        <v>94</v>
      </c>
      <c r="G22" s="28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5">
        <v>45334</v>
      </c>
      <c r="C23" s="4" t="s">
        <v>784</v>
      </c>
      <c r="D23" s="37" t="s">
        <v>782</v>
      </c>
      <c r="E23" s="4" t="s">
        <v>90</v>
      </c>
      <c r="G23" s="28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5">
        <v>45296</v>
      </c>
      <c r="C24" s="4" t="s">
        <v>785</v>
      </c>
      <c r="D24" s="37" t="s">
        <v>130</v>
      </c>
      <c r="E24" s="4" t="s">
        <v>92</v>
      </c>
      <c r="G24" s="28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5">
        <v>45298</v>
      </c>
      <c r="C25" s="4" t="s">
        <v>786</v>
      </c>
      <c r="D25" s="37" t="s">
        <v>787</v>
      </c>
      <c r="E25" s="4" t="s">
        <v>90</v>
      </c>
    </row>
    <row r="26" spans="2:10" x14ac:dyDescent="0.3">
      <c r="B26" s="25">
        <v>45306</v>
      </c>
      <c r="C26" s="4" t="s">
        <v>788</v>
      </c>
      <c r="D26" s="37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71</v>
      </c>
      <c r="B1" s="1" t="s">
        <v>77</v>
      </c>
      <c r="C1" s="1"/>
    </row>
    <row r="2" spans="1:13" x14ac:dyDescent="0.3">
      <c r="A2" s="35" t="s">
        <v>2</v>
      </c>
    </row>
    <row r="3" spans="1:13" x14ac:dyDescent="0.3">
      <c r="L3" s="36"/>
      <c r="M3" s="36"/>
    </row>
    <row r="5" spans="1:13" x14ac:dyDescent="0.3">
      <c r="B5" s="29" t="s">
        <v>791</v>
      </c>
      <c r="C5" s="29" t="s">
        <v>792</v>
      </c>
      <c r="D5" s="29" t="s">
        <v>793</v>
      </c>
      <c r="E5" s="29" t="s">
        <v>794</v>
      </c>
      <c r="F5" s="29" t="s">
        <v>344</v>
      </c>
      <c r="G5" s="29"/>
    </row>
    <row r="6" spans="1:13" x14ac:dyDescent="0.3">
      <c r="B6" s="4" t="s">
        <v>795</v>
      </c>
      <c r="C6" s="4" t="s">
        <v>796</v>
      </c>
      <c r="D6" s="4" t="s">
        <v>797</v>
      </c>
      <c r="E6" s="4" t="s">
        <v>798</v>
      </c>
      <c r="F6" s="4" t="s">
        <v>799</v>
      </c>
      <c r="G6" s="4"/>
    </row>
    <row r="7" spans="1:13" x14ac:dyDescent="0.3">
      <c r="B7" s="4" t="s">
        <v>800</v>
      </c>
      <c r="C7" s="4" t="s">
        <v>801</v>
      </c>
      <c r="D7" s="4" t="s">
        <v>802</v>
      </c>
      <c r="E7" s="4" t="s">
        <v>803</v>
      </c>
      <c r="F7" s="4" t="s">
        <v>804</v>
      </c>
      <c r="G7" s="4"/>
    </row>
    <row r="8" spans="1:13" x14ac:dyDescent="0.3">
      <c r="B8" s="4" t="s">
        <v>805</v>
      </c>
      <c r="C8" s="4" t="s">
        <v>806</v>
      </c>
      <c r="D8" s="4" t="s">
        <v>807</v>
      </c>
      <c r="E8" s="4" t="s">
        <v>808</v>
      </c>
      <c r="F8" s="4" t="s">
        <v>809</v>
      </c>
      <c r="G8" s="4"/>
    </row>
    <row r="9" spans="1:13" x14ac:dyDescent="0.3">
      <c r="B9" s="4" t="s">
        <v>810</v>
      </c>
      <c r="C9" s="4" t="s">
        <v>811</v>
      </c>
      <c r="D9" s="4" t="s">
        <v>812</v>
      </c>
      <c r="E9" s="4" t="s">
        <v>813</v>
      </c>
      <c r="F9" s="4" t="s">
        <v>814</v>
      </c>
      <c r="G9" s="4"/>
    </row>
    <row r="10" spans="1:13" x14ac:dyDescent="0.3">
      <c r="B10" s="4" t="s">
        <v>815</v>
      </c>
      <c r="C10" s="4" t="s">
        <v>816</v>
      </c>
      <c r="D10" s="4" t="s">
        <v>817</v>
      </c>
      <c r="E10" s="4" t="s">
        <v>818</v>
      </c>
      <c r="F10" s="4" t="s">
        <v>819</v>
      </c>
      <c r="G10" s="4"/>
    </row>
    <row r="11" spans="1:13" x14ac:dyDescent="0.3">
      <c r="B11" s="4" t="s">
        <v>820</v>
      </c>
      <c r="C11" s="4" t="s">
        <v>821</v>
      </c>
      <c r="D11" s="4" t="s">
        <v>822</v>
      </c>
      <c r="E11" s="4" t="s">
        <v>823</v>
      </c>
      <c r="F11" s="4" t="s">
        <v>824</v>
      </c>
      <c r="G11" s="4"/>
    </row>
    <row r="12" spans="1:13" x14ac:dyDescent="0.3">
      <c r="B12" s="4" t="s">
        <v>825</v>
      </c>
      <c r="C12" s="4" t="s">
        <v>826</v>
      </c>
      <c r="D12" s="4" t="s">
        <v>827</v>
      </c>
      <c r="E12" s="4" t="s">
        <v>828</v>
      </c>
      <c r="F12" s="4" t="s">
        <v>829</v>
      </c>
      <c r="G12" s="4"/>
    </row>
    <row r="15" spans="1:13" x14ac:dyDescent="0.3">
      <c r="B15" s="29" t="s">
        <v>791</v>
      </c>
      <c r="C15" s="29" t="s">
        <v>792</v>
      </c>
      <c r="D15" s="29" t="s">
        <v>793</v>
      </c>
      <c r="E15" s="29" t="s">
        <v>794</v>
      </c>
      <c r="F15" s="29" t="s">
        <v>344</v>
      </c>
      <c r="G15" s="29"/>
    </row>
    <row r="16" spans="1:13" x14ac:dyDescent="0.3">
      <c r="B16" s="4" t="s">
        <v>810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72</v>
      </c>
      <c r="B1" s="151" t="s">
        <v>78</v>
      </c>
      <c r="C1" s="151"/>
    </row>
    <row r="2" spans="1:13" x14ac:dyDescent="0.3">
      <c r="A2" s="35" t="s">
        <v>2</v>
      </c>
    </row>
    <row r="3" spans="1:13" x14ac:dyDescent="0.3">
      <c r="L3" s="36"/>
      <c r="M3" s="36"/>
    </row>
    <row r="4" spans="1:13" x14ac:dyDescent="0.3">
      <c r="B4" s="90" t="s">
        <v>830</v>
      </c>
      <c r="C4" s="90" t="s">
        <v>361</v>
      </c>
      <c r="D4" s="90" t="s">
        <v>831</v>
      </c>
      <c r="E4" s="90" t="s">
        <v>832</v>
      </c>
    </row>
    <row r="5" spans="1:13" x14ac:dyDescent="0.3">
      <c r="B5" s="91" t="s">
        <v>833</v>
      </c>
      <c r="C5" s="92">
        <v>16753</v>
      </c>
      <c r="D5" s="91" t="s">
        <v>834</v>
      </c>
      <c r="E5" s="91" t="s">
        <v>835</v>
      </c>
    </row>
    <row r="6" spans="1:13" x14ac:dyDescent="0.3">
      <c r="B6" s="93" t="s">
        <v>836</v>
      </c>
      <c r="C6" s="94">
        <v>14808</v>
      </c>
      <c r="D6" s="93" t="s">
        <v>837</v>
      </c>
      <c r="E6" s="93" t="s">
        <v>838</v>
      </c>
    </row>
    <row r="7" spans="1:13" x14ac:dyDescent="0.3">
      <c r="B7" s="95" t="s">
        <v>839</v>
      </c>
      <c r="C7" s="96">
        <v>10644</v>
      </c>
      <c r="D7" s="95" t="s">
        <v>834</v>
      </c>
      <c r="E7" s="95" t="s">
        <v>840</v>
      </c>
    </row>
    <row r="8" spans="1:13" x14ac:dyDescent="0.3">
      <c r="B8" s="95" t="s">
        <v>841</v>
      </c>
      <c r="C8" s="96">
        <v>1390</v>
      </c>
      <c r="D8" s="95" t="s">
        <v>837</v>
      </c>
      <c r="E8" s="95" t="s">
        <v>835</v>
      </c>
    </row>
    <row r="9" spans="1:13" x14ac:dyDescent="0.3">
      <c r="B9" s="93" t="s">
        <v>842</v>
      </c>
      <c r="C9" s="94">
        <v>4865</v>
      </c>
      <c r="D9" s="93" t="s">
        <v>837</v>
      </c>
      <c r="E9" s="93" t="s">
        <v>838</v>
      </c>
    </row>
    <row r="10" spans="1:13" x14ac:dyDescent="0.3">
      <c r="B10" s="97" t="s">
        <v>839</v>
      </c>
      <c r="C10" s="98">
        <v>12438</v>
      </c>
      <c r="D10" s="97" t="s">
        <v>834</v>
      </c>
      <c r="E10" s="97" t="s">
        <v>843</v>
      </c>
    </row>
    <row r="11" spans="1:13" x14ac:dyDescent="0.3">
      <c r="B11" s="99" t="s">
        <v>836</v>
      </c>
      <c r="C11" s="100">
        <v>9339</v>
      </c>
      <c r="D11" s="99" t="s">
        <v>834</v>
      </c>
      <c r="E11" s="99" t="s">
        <v>840</v>
      </c>
    </row>
    <row r="12" spans="1:13" x14ac:dyDescent="0.3">
      <c r="B12" s="101" t="s">
        <v>833</v>
      </c>
      <c r="C12" s="102">
        <v>18919</v>
      </c>
      <c r="D12" s="101" t="s">
        <v>837</v>
      </c>
      <c r="E12" s="101" t="s">
        <v>835</v>
      </c>
    </row>
    <row r="13" spans="1:13" x14ac:dyDescent="0.3">
      <c r="B13" s="93" t="s">
        <v>841</v>
      </c>
      <c r="C13" s="94">
        <v>9213</v>
      </c>
      <c r="D13" s="93" t="s">
        <v>837</v>
      </c>
      <c r="E13" s="93" t="s">
        <v>838</v>
      </c>
    </row>
    <row r="14" spans="1:13" x14ac:dyDescent="0.3">
      <c r="B14" s="97" t="s">
        <v>841</v>
      </c>
      <c r="C14" s="98">
        <v>7433</v>
      </c>
      <c r="D14" s="97" t="s">
        <v>834</v>
      </c>
      <c r="E14" s="97" t="s">
        <v>843</v>
      </c>
    </row>
    <row r="15" spans="1:13" x14ac:dyDescent="0.3">
      <c r="B15" s="95" t="s">
        <v>842</v>
      </c>
      <c r="C15" s="96">
        <v>3255</v>
      </c>
      <c r="D15" s="95" t="s">
        <v>837</v>
      </c>
      <c r="E15" s="95" t="s">
        <v>840</v>
      </c>
    </row>
    <row r="16" spans="1:13" x14ac:dyDescent="0.3">
      <c r="B16" s="101" t="s">
        <v>839</v>
      </c>
      <c r="C16" s="102">
        <v>14867</v>
      </c>
      <c r="D16" s="101" t="s">
        <v>837</v>
      </c>
      <c r="E16" s="101" t="s">
        <v>835</v>
      </c>
    </row>
    <row r="17" spans="2:5" x14ac:dyDescent="0.3">
      <c r="B17" s="93" t="s">
        <v>839</v>
      </c>
      <c r="C17" s="94">
        <v>19302</v>
      </c>
      <c r="D17" s="93" t="s">
        <v>834</v>
      </c>
      <c r="E17" s="93" t="s">
        <v>838</v>
      </c>
    </row>
    <row r="18" spans="2:5" x14ac:dyDescent="0.3">
      <c r="B18" s="99" t="s">
        <v>833</v>
      </c>
      <c r="C18" s="100">
        <v>9698</v>
      </c>
      <c r="D18" s="99" t="s">
        <v>837</v>
      </c>
      <c r="E18" s="99" t="s">
        <v>843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73</v>
      </c>
      <c r="B1" s="1" t="s">
        <v>79</v>
      </c>
      <c r="C1" s="1"/>
    </row>
    <row r="2" spans="1:13" x14ac:dyDescent="0.3">
      <c r="A2" s="35" t="s">
        <v>2</v>
      </c>
    </row>
    <row r="3" spans="1:13" x14ac:dyDescent="0.3">
      <c r="L3" s="36"/>
      <c r="M3" s="36"/>
    </row>
    <row r="4" spans="1:13" x14ac:dyDescent="0.3">
      <c r="B4" s="103" t="s">
        <v>79</v>
      </c>
    </row>
    <row r="5" spans="1:13" x14ac:dyDescent="0.3">
      <c r="B5" s="89" t="s">
        <v>317</v>
      </c>
      <c r="C5" s="89" t="s">
        <v>361</v>
      </c>
      <c r="D5" s="89" t="s">
        <v>831</v>
      </c>
      <c r="E5" s="89" t="s">
        <v>832</v>
      </c>
      <c r="F5" s="89" t="s">
        <v>844</v>
      </c>
    </row>
    <row r="6" spans="1:13" x14ac:dyDescent="0.3">
      <c r="B6" t="s">
        <v>833</v>
      </c>
      <c r="C6" s="42">
        <v>16753</v>
      </c>
      <c r="D6" t="s">
        <v>834</v>
      </c>
      <c r="E6" t="s">
        <v>835</v>
      </c>
      <c r="F6" t="s">
        <v>845</v>
      </c>
    </row>
    <row r="7" spans="1:13" x14ac:dyDescent="0.3">
      <c r="B7" t="s">
        <v>836</v>
      </c>
      <c r="C7" s="42">
        <v>14808</v>
      </c>
      <c r="D7" t="s">
        <v>837</v>
      </c>
      <c r="E7" t="s">
        <v>838</v>
      </c>
      <c r="F7" t="s">
        <v>846</v>
      </c>
    </row>
    <row r="8" spans="1:13" x14ac:dyDescent="0.3">
      <c r="B8" t="s">
        <v>839</v>
      </c>
      <c r="C8" s="42">
        <v>10644</v>
      </c>
      <c r="D8" t="s">
        <v>834</v>
      </c>
      <c r="E8" t="s">
        <v>840</v>
      </c>
      <c r="F8" t="s">
        <v>845</v>
      </c>
    </row>
    <row r="9" spans="1:13" x14ac:dyDescent="0.3">
      <c r="B9" t="s">
        <v>841</v>
      </c>
      <c r="C9" s="42">
        <v>1390</v>
      </c>
      <c r="D9" t="s">
        <v>837</v>
      </c>
      <c r="E9" t="s">
        <v>835</v>
      </c>
      <c r="F9" t="s">
        <v>847</v>
      </c>
    </row>
    <row r="10" spans="1:13" x14ac:dyDescent="0.3">
      <c r="B10" t="s">
        <v>842</v>
      </c>
      <c r="C10" s="42">
        <v>4865</v>
      </c>
      <c r="D10" t="s">
        <v>837</v>
      </c>
      <c r="E10" t="s">
        <v>838</v>
      </c>
      <c r="F10" t="s">
        <v>846</v>
      </c>
    </row>
    <row r="11" spans="1:13" x14ac:dyDescent="0.3">
      <c r="B11" t="s">
        <v>839</v>
      </c>
      <c r="C11" s="42">
        <v>12438</v>
      </c>
      <c r="D11" t="s">
        <v>834</v>
      </c>
      <c r="E11" t="s">
        <v>843</v>
      </c>
      <c r="F11" t="s">
        <v>847</v>
      </c>
    </row>
    <row r="12" spans="1:13" x14ac:dyDescent="0.3">
      <c r="B12" t="s">
        <v>836</v>
      </c>
      <c r="C12" s="42">
        <v>9339</v>
      </c>
      <c r="D12" t="s">
        <v>834</v>
      </c>
      <c r="E12" t="s">
        <v>840</v>
      </c>
      <c r="F12" t="s">
        <v>846</v>
      </c>
    </row>
    <row r="13" spans="1:13" x14ac:dyDescent="0.3">
      <c r="B13" t="s">
        <v>833</v>
      </c>
      <c r="C13" s="42">
        <v>18919</v>
      </c>
      <c r="D13" t="s">
        <v>837</v>
      </c>
      <c r="E13" t="s">
        <v>835</v>
      </c>
      <c r="F13" t="s">
        <v>846</v>
      </c>
    </row>
    <row r="14" spans="1:13" x14ac:dyDescent="0.3">
      <c r="B14" t="s">
        <v>841</v>
      </c>
      <c r="C14" s="42">
        <v>9213</v>
      </c>
      <c r="D14" t="s">
        <v>837</v>
      </c>
      <c r="E14" t="s">
        <v>838</v>
      </c>
      <c r="F14" t="s">
        <v>845</v>
      </c>
    </row>
    <row r="15" spans="1:13" x14ac:dyDescent="0.3">
      <c r="B15" t="s">
        <v>841</v>
      </c>
      <c r="C15" s="42">
        <v>7433</v>
      </c>
      <c r="D15" t="s">
        <v>834</v>
      </c>
      <c r="E15" t="s">
        <v>843</v>
      </c>
      <c r="F15" t="s">
        <v>847</v>
      </c>
    </row>
    <row r="16" spans="1:13" x14ac:dyDescent="0.3">
      <c r="B16" t="s">
        <v>842</v>
      </c>
      <c r="C16" s="42">
        <v>3255</v>
      </c>
      <c r="D16" t="s">
        <v>837</v>
      </c>
      <c r="E16" t="s">
        <v>840</v>
      </c>
      <c r="F16" t="s">
        <v>847</v>
      </c>
    </row>
    <row r="17" spans="2:6" x14ac:dyDescent="0.3">
      <c r="B17" t="s">
        <v>839</v>
      </c>
      <c r="C17" s="42">
        <v>14867</v>
      </c>
      <c r="D17" t="s">
        <v>837</v>
      </c>
      <c r="E17" t="s">
        <v>835</v>
      </c>
      <c r="F17" t="s">
        <v>845</v>
      </c>
    </row>
    <row r="18" spans="2:6" x14ac:dyDescent="0.3">
      <c r="B18" t="s">
        <v>839</v>
      </c>
      <c r="C18" s="42">
        <v>19302</v>
      </c>
      <c r="D18" t="s">
        <v>834</v>
      </c>
      <c r="E18" t="s">
        <v>838</v>
      </c>
      <c r="F18" t="s">
        <v>846</v>
      </c>
    </row>
    <row r="19" spans="2:6" x14ac:dyDescent="0.3">
      <c r="B19" t="s">
        <v>833</v>
      </c>
      <c r="C19" s="42">
        <v>9698</v>
      </c>
      <c r="D19" t="s">
        <v>837</v>
      </c>
      <c r="E19" t="s">
        <v>843</v>
      </c>
      <c r="F19" t="s">
        <v>847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74</v>
      </c>
      <c r="B1" s="1" t="s">
        <v>80</v>
      </c>
      <c r="C1" s="1"/>
    </row>
    <row r="2" spans="1:13" x14ac:dyDescent="0.3">
      <c r="A2" s="35" t="s">
        <v>2</v>
      </c>
    </row>
    <row r="3" spans="1:13" x14ac:dyDescent="0.3">
      <c r="L3" s="36"/>
      <c r="M3" s="36"/>
    </row>
    <row r="4" spans="1:13" x14ac:dyDescent="0.3">
      <c r="B4" s="137" t="s">
        <v>141</v>
      </c>
      <c r="C4" s="138" t="s">
        <v>848</v>
      </c>
      <c r="D4" s="138" t="s">
        <v>361</v>
      </c>
      <c r="G4" t="s">
        <v>849</v>
      </c>
    </row>
    <row r="5" spans="1:13" x14ac:dyDescent="0.3">
      <c r="B5" s="28">
        <v>43031</v>
      </c>
      <c r="C5" t="s">
        <v>850</v>
      </c>
      <c r="D5">
        <v>100</v>
      </c>
      <c r="G5" t="s">
        <v>851</v>
      </c>
    </row>
    <row r="6" spans="1:13" x14ac:dyDescent="0.3">
      <c r="B6" s="28">
        <v>43031</v>
      </c>
      <c r="C6" t="s">
        <v>852</v>
      </c>
      <c r="D6">
        <v>200</v>
      </c>
      <c r="G6" t="s">
        <v>853</v>
      </c>
    </row>
    <row r="7" spans="1:13" x14ac:dyDescent="0.3">
      <c r="B7" s="28">
        <v>43032</v>
      </c>
      <c r="C7" t="s">
        <v>854</v>
      </c>
      <c r="D7">
        <v>100</v>
      </c>
      <c r="G7" t="s">
        <v>855</v>
      </c>
    </row>
    <row r="8" spans="1:13" x14ac:dyDescent="0.3">
      <c r="B8" s="28">
        <v>43032</v>
      </c>
      <c r="C8" t="s">
        <v>850</v>
      </c>
      <c r="D8">
        <v>300</v>
      </c>
      <c r="G8" t="s">
        <v>856</v>
      </c>
    </row>
    <row r="9" spans="1:13" x14ac:dyDescent="0.3">
      <c r="B9" s="28">
        <v>43032</v>
      </c>
      <c r="C9" t="s">
        <v>850</v>
      </c>
      <c r="D9">
        <v>700</v>
      </c>
      <c r="G9" t="s">
        <v>857</v>
      </c>
    </row>
    <row r="10" spans="1:13" x14ac:dyDescent="0.3">
      <c r="B10" s="28">
        <v>43031</v>
      </c>
      <c r="C10" t="s">
        <v>854</v>
      </c>
      <c r="D10">
        <v>100</v>
      </c>
      <c r="G10" t="s">
        <v>858</v>
      </c>
    </row>
    <row r="11" spans="1:13" x14ac:dyDescent="0.3">
      <c r="B11" s="28">
        <v>43032</v>
      </c>
      <c r="C11" t="s">
        <v>852</v>
      </c>
      <c r="D11">
        <v>200</v>
      </c>
    </row>
    <row r="12" spans="1:13" x14ac:dyDescent="0.3">
      <c r="B12" s="28">
        <v>43032</v>
      </c>
      <c r="C12" t="s">
        <v>852</v>
      </c>
      <c r="D12">
        <v>500</v>
      </c>
    </row>
    <row r="13" spans="1:13" x14ac:dyDescent="0.3">
      <c r="B13" s="28">
        <v>43031</v>
      </c>
      <c r="C13" t="s">
        <v>852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1" t="s">
        <v>859</v>
      </c>
      <c r="B3" t="s">
        <v>860</v>
      </c>
    </row>
    <row r="4" spans="1:2" x14ac:dyDescent="0.3">
      <c r="A4" s="13" t="s">
        <v>861</v>
      </c>
      <c r="B4" s="132">
        <v>110.99999999999999</v>
      </c>
    </row>
    <row r="5" spans="1:2" x14ac:dyDescent="0.3">
      <c r="A5" s="13" t="s">
        <v>369</v>
      </c>
      <c r="B5" s="132">
        <v>397.12000000000006</v>
      </c>
    </row>
    <row r="6" spans="1:2" x14ac:dyDescent="0.3">
      <c r="A6" s="13" t="s">
        <v>862</v>
      </c>
      <c r="B6" s="132">
        <v>341.29999999999995</v>
      </c>
    </row>
    <row r="7" spans="1:2" x14ac:dyDescent="0.3">
      <c r="A7" s="13" t="s">
        <v>668</v>
      </c>
      <c r="B7" s="132">
        <v>167.76000000000002</v>
      </c>
    </row>
    <row r="8" spans="1:2" x14ac:dyDescent="0.3">
      <c r="A8" s="13" t="s">
        <v>665</v>
      </c>
      <c r="B8" s="132">
        <v>379.79999999999995</v>
      </c>
    </row>
    <row r="9" spans="1:2" x14ac:dyDescent="0.3">
      <c r="A9" s="13" t="s">
        <v>863</v>
      </c>
      <c r="B9" s="132">
        <v>369.7</v>
      </c>
    </row>
    <row r="10" spans="1:2" x14ac:dyDescent="0.3">
      <c r="A10" s="13" t="s">
        <v>361</v>
      </c>
      <c r="B10" s="132">
        <v>638.49000000000012</v>
      </c>
    </row>
    <row r="11" spans="1:2" x14ac:dyDescent="0.3">
      <c r="A11" s="13" t="s">
        <v>864</v>
      </c>
      <c r="B11" s="132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1" t="s">
        <v>859</v>
      </c>
      <c r="B3" t="s">
        <v>865</v>
      </c>
    </row>
    <row r="4" spans="1:2" x14ac:dyDescent="0.3">
      <c r="A4" s="13" t="s">
        <v>861</v>
      </c>
      <c r="B4" s="132">
        <v>2204.9299999999998</v>
      </c>
    </row>
    <row r="5" spans="1:2" x14ac:dyDescent="0.3">
      <c r="A5" s="13" t="s">
        <v>369</v>
      </c>
      <c r="B5" s="132">
        <v>14368.039000000001</v>
      </c>
    </row>
    <row r="6" spans="1:2" x14ac:dyDescent="0.3">
      <c r="A6" s="13" t="s">
        <v>862</v>
      </c>
      <c r="B6" s="132">
        <v>8778.9009999999998</v>
      </c>
    </row>
    <row r="7" spans="1:2" x14ac:dyDescent="0.3">
      <c r="A7" s="13" t="s">
        <v>668</v>
      </c>
      <c r="B7" s="132">
        <v>6006.1912000000011</v>
      </c>
    </row>
    <row r="8" spans="1:2" x14ac:dyDescent="0.3">
      <c r="A8" s="13" t="s">
        <v>665</v>
      </c>
      <c r="B8" s="132">
        <v>11048.359999999999</v>
      </c>
    </row>
    <row r="9" spans="1:2" x14ac:dyDescent="0.3">
      <c r="A9" s="13" t="s">
        <v>863</v>
      </c>
      <c r="B9" s="132">
        <v>12055.714</v>
      </c>
    </row>
    <row r="10" spans="1:2" x14ac:dyDescent="0.3">
      <c r="A10" s="13" t="s">
        <v>361</v>
      </c>
      <c r="B10" s="132">
        <v>27282.156799999997</v>
      </c>
    </row>
    <row r="11" spans="1:2" x14ac:dyDescent="0.3">
      <c r="A11" s="13" t="s">
        <v>864</v>
      </c>
      <c r="B11" s="132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75</v>
      </c>
      <c r="B1" s="151" t="s">
        <v>81</v>
      </c>
      <c r="C1" s="151"/>
    </row>
    <row r="2" spans="1:13" x14ac:dyDescent="0.3">
      <c r="A2" s="35" t="s">
        <v>2</v>
      </c>
    </row>
    <row r="3" spans="1:13" x14ac:dyDescent="0.3">
      <c r="L3" s="36"/>
      <c r="M3" s="36"/>
    </row>
    <row r="5" spans="1:13" x14ac:dyDescent="0.3">
      <c r="A5" s="35" t="s">
        <v>2</v>
      </c>
    </row>
    <row r="7" spans="1:13" x14ac:dyDescent="0.3">
      <c r="C7" s="123" t="s">
        <v>317</v>
      </c>
      <c r="D7" s="123" t="s">
        <v>315</v>
      </c>
      <c r="E7" s="123" t="s">
        <v>662</v>
      </c>
      <c r="F7" s="123" t="s">
        <v>866</v>
      </c>
      <c r="G7" s="123" t="s">
        <v>867</v>
      </c>
      <c r="H7" s="123" t="s">
        <v>868</v>
      </c>
      <c r="I7" s="123" t="s">
        <v>869</v>
      </c>
      <c r="J7" s="123" t="s">
        <v>870</v>
      </c>
      <c r="K7" s="123" t="s">
        <v>871</v>
      </c>
      <c r="L7" s="123" t="s">
        <v>872</v>
      </c>
    </row>
    <row r="8" spans="1:13" x14ac:dyDescent="0.3">
      <c r="C8" t="s">
        <v>873</v>
      </c>
      <c r="D8" t="s">
        <v>874</v>
      </c>
      <c r="E8" t="s">
        <v>863</v>
      </c>
      <c r="F8" t="s">
        <v>875</v>
      </c>
      <c r="G8" s="124">
        <v>80.099999999999994</v>
      </c>
      <c r="H8" s="124">
        <v>44.62</v>
      </c>
      <c r="I8" s="124">
        <f t="shared" ref="I8:I49" si="0">H8*G8</f>
        <v>3574.0619999999994</v>
      </c>
      <c r="J8" t="s">
        <v>876</v>
      </c>
      <c r="K8" t="s">
        <v>877</v>
      </c>
      <c r="L8" t="s">
        <v>878</v>
      </c>
    </row>
    <row r="9" spans="1:13" x14ac:dyDescent="0.3">
      <c r="C9" t="s">
        <v>879</v>
      </c>
      <c r="D9" t="s">
        <v>880</v>
      </c>
      <c r="E9" t="s">
        <v>665</v>
      </c>
      <c r="F9" t="s">
        <v>881</v>
      </c>
      <c r="G9" s="124">
        <v>82.4</v>
      </c>
      <c r="H9" s="124">
        <v>24.54</v>
      </c>
      <c r="I9" s="124">
        <f t="shared" si="0"/>
        <v>2022.096</v>
      </c>
      <c r="J9" t="s">
        <v>876</v>
      </c>
      <c r="K9" t="s">
        <v>877</v>
      </c>
      <c r="L9" t="s">
        <v>878</v>
      </c>
    </row>
    <row r="10" spans="1:13" x14ac:dyDescent="0.3">
      <c r="C10" t="s">
        <v>882</v>
      </c>
      <c r="D10" t="s">
        <v>883</v>
      </c>
      <c r="E10" t="s">
        <v>361</v>
      </c>
      <c r="F10" t="s">
        <v>875</v>
      </c>
      <c r="G10" s="124">
        <v>39.9</v>
      </c>
      <c r="H10" s="124">
        <v>41.66</v>
      </c>
      <c r="I10" s="124">
        <f t="shared" si="0"/>
        <v>1662.2339999999997</v>
      </c>
      <c r="J10" t="s">
        <v>884</v>
      </c>
      <c r="K10" t="s">
        <v>885</v>
      </c>
      <c r="L10" t="s">
        <v>878</v>
      </c>
    </row>
    <row r="11" spans="1:13" x14ac:dyDescent="0.3">
      <c r="C11" t="s">
        <v>886</v>
      </c>
      <c r="D11" t="s">
        <v>887</v>
      </c>
      <c r="E11" t="s">
        <v>361</v>
      </c>
      <c r="F11" t="s">
        <v>888</v>
      </c>
      <c r="G11" s="124">
        <v>32.4</v>
      </c>
      <c r="H11" s="124">
        <v>14.37</v>
      </c>
      <c r="I11" s="124">
        <f t="shared" si="0"/>
        <v>465.58799999999997</v>
      </c>
      <c r="J11" t="s">
        <v>876</v>
      </c>
      <c r="K11" t="s">
        <v>885</v>
      </c>
      <c r="L11" t="s">
        <v>889</v>
      </c>
    </row>
    <row r="12" spans="1:13" x14ac:dyDescent="0.3">
      <c r="C12" t="s">
        <v>890</v>
      </c>
      <c r="D12" t="s">
        <v>891</v>
      </c>
      <c r="E12" t="s">
        <v>862</v>
      </c>
      <c r="F12" t="s">
        <v>892</v>
      </c>
      <c r="G12" s="124">
        <v>84.6</v>
      </c>
      <c r="H12" s="124">
        <v>29.76</v>
      </c>
      <c r="I12" s="124">
        <f t="shared" si="0"/>
        <v>2517.6959999999999</v>
      </c>
      <c r="J12" t="s">
        <v>876</v>
      </c>
      <c r="K12" t="s">
        <v>885</v>
      </c>
      <c r="L12" t="s">
        <v>889</v>
      </c>
    </row>
    <row r="13" spans="1:13" x14ac:dyDescent="0.3">
      <c r="C13" t="s">
        <v>890</v>
      </c>
      <c r="D13" t="s">
        <v>891</v>
      </c>
      <c r="E13" t="s">
        <v>862</v>
      </c>
      <c r="F13" t="s">
        <v>892</v>
      </c>
      <c r="G13" s="124">
        <v>84.6</v>
      </c>
      <c r="H13" s="124">
        <v>29.76</v>
      </c>
      <c r="I13" s="124">
        <f t="shared" si="0"/>
        <v>2517.6959999999999</v>
      </c>
      <c r="J13" t="s">
        <v>876</v>
      </c>
      <c r="K13" t="s">
        <v>885</v>
      </c>
      <c r="L13" t="s">
        <v>889</v>
      </c>
    </row>
    <row r="14" spans="1:13" x14ac:dyDescent="0.3">
      <c r="C14" t="s">
        <v>893</v>
      </c>
      <c r="D14" t="s">
        <v>894</v>
      </c>
      <c r="E14" t="s">
        <v>668</v>
      </c>
      <c r="F14" t="s">
        <v>881</v>
      </c>
      <c r="G14" s="124">
        <v>16.2</v>
      </c>
      <c r="H14" s="124">
        <v>33.04</v>
      </c>
      <c r="I14" s="124">
        <f t="shared" si="0"/>
        <v>535.24799999999993</v>
      </c>
      <c r="J14" t="s">
        <v>876</v>
      </c>
      <c r="K14" t="s">
        <v>877</v>
      </c>
      <c r="L14" t="s">
        <v>889</v>
      </c>
    </row>
    <row r="15" spans="1:13" x14ac:dyDescent="0.3">
      <c r="C15" t="s">
        <v>895</v>
      </c>
      <c r="D15" t="s">
        <v>896</v>
      </c>
      <c r="E15" t="s">
        <v>861</v>
      </c>
      <c r="F15" t="s">
        <v>892</v>
      </c>
      <c r="G15" s="124">
        <v>40</v>
      </c>
      <c r="H15" s="124">
        <v>17.88</v>
      </c>
      <c r="I15" s="124">
        <f t="shared" si="0"/>
        <v>715.19999999999993</v>
      </c>
      <c r="J15" t="s">
        <v>884</v>
      </c>
      <c r="K15" t="s">
        <v>885</v>
      </c>
      <c r="L15" t="s">
        <v>878</v>
      </c>
    </row>
    <row r="16" spans="1:13" x14ac:dyDescent="0.3">
      <c r="C16" t="s">
        <v>897</v>
      </c>
      <c r="D16" t="s">
        <v>896</v>
      </c>
      <c r="E16" t="s">
        <v>369</v>
      </c>
      <c r="F16" t="s">
        <v>875</v>
      </c>
      <c r="G16" s="124">
        <v>33.200000000000003</v>
      </c>
      <c r="H16" s="124">
        <v>24.05</v>
      </c>
      <c r="I16" s="124">
        <f t="shared" si="0"/>
        <v>798.46</v>
      </c>
      <c r="J16" t="s">
        <v>876</v>
      </c>
      <c r="K16" t="s">
        <v>877</v>
      </c>
      <c r="L16" t="s">
        <v>878</v>
      </c>
    </row>
    <row r="17" spans="3:12" x14ac:dyDescent="0.3">
      <c r="C17" t="s">
        <v>898</v>
      </c>
      <c r="D17" t="s">
        <v>899</v>
      </c>
      <c r="E17" t="s">
        <v>665</v>
      </c>
      <c r="F17" t="s">
        <v>888</v>
      </c>
      <c r="G17" s="124">
        <v>87.6</v>
      </c>
      <c r="H17" s="124">
        <v>23</v>
      </c>
      <c r="I17" s="124">
        <f t="shared" si="0"/>
        <v>2014.8</v>
      </c>
      <c r="J17" t="s">
        <v>884</v>
      </c>
      <c r="K17" t="s">
        <v>877</v>
      </c>
      <c r="L17" t="s">
        <v>878</v>
      </c>
    </row>
    <row r="18" spans="3:12" x14ac:dyDescent="0.3">
      <c r="C18" t="s">
        <v>900</v>
      </c>
      <c r="D18" t="s">
        <v>901</v>
      </c>
      <c r="E18" t="s">
        <v>361</v>
      </c>
      <c r="F18" t="s">
        <v>892</v>
      </c>
      <c r="G18" s="124">
        <v>95</v>
      </c>
      <c r="H18" s="124">
        <v>48.63</v>
      </c>
      <c r="I18" s="124">
        <f t="shared" si="0"/>
        <v>4619.8500000000004</v>
      </c>
      <c r="J18" t="s">
        <v>876</v>
      </c>
      <c r="K18" t="s">
        <v>877</v>
      </c>
      <c r="L18" t="s">
        <v>889</v>
      </c>
    </row>
    <row r="19" spans="3:12" x14ac:dyDescent="0.3">
      <c r="C19" t="s">
        <v>900</v>
      </c>
      <c r="D19" t="s">
        <v>901</v>
      </c>
      <c r="E19" t="s">
        <v>361</v>
      </c>
      <c r="F19" t="s">
        <v>892</v>
      </c>
      <c r="G19" s="124">
        <v>95</v>
      </c>
      <c r="H19" s="124">
        <v>48.63</v>
      </c>
      <c r="I19" s="124">
        <f t="shared" si="0"/>
        <v>4619.8500000000004</v>
      </c>
      <c r="J19" t="s">
        <v>876</v>
      </c>
      <c r="K19" t="s">
        <v>877</v>
      </c>
      <c r="L19" t="s">
        <v>889</v>
      </c>
    </row>
    <row r="20" spans="3:12" x14ac:dyDescent="0.3">
      <c r="C20" t="s">
        <v>902</v>
      </c>
      <c r="D20" t="s">
        <v>903</v>
      </c>
      <c r="E20" t="s">
        <v>361</v>
      </c>
      <c r="F20" t="s">
        <v>904</v>
      </c>
      <c r="G20" s="124">
        <v>78.400000000000006</v>
      </c>
      <c r="H20" s="124">
        <v>44.98</v>
      </c>
      <c r="I20" s="124">
        <f t="shared" si="0"/>
        <v>3526.4319999999998</v>
      </c>
      <c r="J20" t="s">
        <v>884</v>
      </c>
      <c r="K20" t="s">
        <v>877</v>
      </c>
      <c r="L20" t="s">
        <v>889</v>
      </c>
    </row>
    <row r="21" spans="3:12" x14ac:dyDescent="0.3">
      <c r="C21" t="s">
        <v>905</v>
      </c>
      <c r="D21" t="s">
        <v>906</v>
      </c>
      <c r="E21" t="s">
        <v>361</v>
      </c>
      <c r="F21" t="s">
        <v>907</v>
      </c>
      <c r="G21" s="124">
        <v>10.199999999999999</v>
      </c>
      <c r="H21" s="124">
        <v>23.74</v>
      </c>
      <c r="I21" s="124">
        <f t="shared" si="0"/>
        <v>242.14799999999997</v>
      </c>
      <c r="J21" t="s">
        <v>876</v>
      </c>
      <c r="K21" t="s">
        <v>885</v>
      </c>
      <c r="L21" t="s">
        <v>878</v>
      </c>
    </row>
    <row r="22" spans="3:12" x14ac:dyDescent="0.3">
      <c r="C22" t="s">
        <v>908</v>
      </c>
      <c r="D22" t="s">
        <v>909</v>
      </c>
      <c r="E22" t="s">
        <v>862</v>
      </c>
      <c r="F22" t="s">
        <v>892</v>
      </c>
      <c r="G22" s="124">
        <v>13.2</v>
      </c>
      <c r="H22" s="124">
        <v>12.06</v>
      </c>
      <c r="I22" s="124">
        <f t="shared" si="0"/>
        <v>159.19200000000001</v>
      </c>
      <c r="J22" t="s">
        <v>876</v>
      </c>
      <c r="K22" t="s">
        <v>885</v>
      </c>
      <c r="L22" t="s">
        <v>889</v>
      </c>
    </row>
    <row r="23" spans="3:12" x14ac:dyDescent="0.3">
      <c r="C23" t="s">
        <v>910</v>
      </c>
      <c r="D23" t="s">
        <v>909</v>
      </c>
      <c r="E23" t="s">
        <v>665</v>
      </c>
      <c r="F23" t="s">
        <v>875</v>
      </c>
      <c r="G23" s="124">
        <v>70.599999999999994</v>
      </c>
      <c r="H23" s="124">
        <v>20.84</v>
      </c>
      <c r="I23" s="124">
        <f t="shared" si="0"/>
        <v>1471.3039999999999</v>
      </c>
      <c r="J23" t="s">
        <v>876</v>
      </c>
      <c r="K23" t="s">
        <v>885</v>
      </c>
      <c r="L23" t="s">
        <v>878</v>
      </c>
    </row>
    <row r="24" spans="3:12" x14ac:dyDescent="0.3">
      <c r="C24" t="s">
        <v>911</v>
      </c>
      <c r="D24" t="s">
        <v>912</v>
      </c>
      <c r="E24" t="s">
        <v>861</v>
      </c>
      <c r="F24" t="s">
        <v>881</v>
      </c>
      <c r="G24" s="124">
        <v>26.6</v>
      </c>
      <c r="H24" s="124">
        <v>15.99</v>
      </c>
      <c r="I24" s="124">
        <f t="shared" si="0"/>
        <v>425.334</v>
      </c>
      <c r="J24" t="s">
        <v>884</v>
      </c>
      <c r="K24" t="s">
        <v>885</v>
      </c>
      <c r="L24" t="s">
        <v>889</v>
      </c>
    </row>
    <row r="25" spans="3:12" x14ac:dyDescent="0.3">
      <c r="C25" t="s">
        <v>913</v>
      </c>
      <c r="D25" t="s">
        <v>496</v>
      </c>
      <c r="E25" t="s">
        <v>862</v>
      </c>
      <c r="F25" t="s">
        <v>907</v>
      </c>
      <c r="G25" s="124">
        <v>80.400000000000006</v>
      </c>
      <c r="H25" s="124">
        <v>16.53</v>
      </c>
      <c r="I25" s="124">
        <f t="shared" si="0"/>
        <v>1329.0120000000002</v>
      </c>
      <c r="J25" t="s">
        <v>884</v>
      </c>
      <c r="K25" t="s">
        <v>877</v>
      </c>
      <c r="L25" t="s">
        <v>878</v>
      </c>
    </row>
    <row r="26" spans="3:12" x14ac:dyDescent="0.3">
      <c r="C26" t="s">
        <v>914</v>
      </c>
      <c r="D26" t="s">
        <v>915</v>
      </c>
      <c r="E26" t="s">
        <v>665</v>
      </c>
      <c r="F26" t="s">
        <v>904</v>
      </c>
      <c r="G26" s="124">
        <v>46.4</v>
      </c>
      <c r="H26" s="124">
        <v>40.799999999999997</v>
      </c>
      <c r="I26" s="124">
        <f t="shared" si="0"/>
        <v>1893.12</v>
      </c>
      <c r="J26" t="s">
        <v>884</v>
      </c>
      <c r="K26" t="s">
        <v>885</v>
      </c>
      <c r="L26" t="s">
        <v>889</v>
      </c>
    </row>
    <row r="27" spans="3:12" x14ac:dyDescent="0.3">
      <c r="C27" t="s">
        <v>914</v>
      </c>
      <c r="D27" t="s">
        <v>915</v>
      </c>
      <c r="E27" t="s">
        <v>665</v>
      </c>
      <c r="F27" t="s">
        <v>904</v>
      </c>
      <c r="G27" s="124">
        <v>46.4</v>
      </c>
      <c r="H27" s="124">
        <v>39.799999999999997</v>
      </c>
      <c r="I27" s="124">
        <f t="shared" si="0"/>
        <v>1846.7199999999998</v>
      </c>
      <c r="J27" t="s">
        <v>884</v>
      </c>
      <c r="K27" t="s">
        <v>885</v>
      </c>
      <c r="L27" t="s">
        <v>889</v>
      </c>
    </row>
    <row r="28" spans="3:12" x14ac:dyDescent="0.3">
      <c r="C28" t="s">
        <v>914</v>
      </c>
      <c r="D28" t="s">
        <v>915</v>
      </c>
      <c r="E28" t="s">
        <v>665</v>
      </c>
      <c r="F28" t="s">
        <v>904</v>
      </c>
      <c r="G28" s="124">
        <v>46.4</v>
      </c>
      <c r="H28" s="124">
        <v>38.799999999999997</v>
      </c>
      <c r="I28" s="124">
        <f t="shared" si="0"/>
        <v>1800.3199999999997</v>
      </c>
      <c r="J28" t="s">
        <v>884</v>
      </c>
      <c r="K28" t="s">
        <v>885</v>
      </c>
      <c r="L28" t="s">
        <v>889</v>
      </c>
    </row>
    <row r="29" spans="3:12" x14ac:dyDescent="0.3">
      <c r="C29" t="s">
        <v>916</v>
      </c>
      <c r="D29" t="s">
        <v>917</v>
      </c>
      <c r="E29" t="s">
        <v>862</v>
      </c>
      <c r="F29" t="s">
        <v>892</v>
      </c>
      <c r="G29" s="124">
        <v>78.5</v>
      </c>
      <c r="H29" s="124">
        <v>28.73</v>
      </c>
      <c r="I29" s="124">
        <f t="shared" si="0"/>
        <v>2255.3049999999998</v>
      </c>
      <c r="J29" t="s">
        <v>876</v>
      </c>
      <c r="K29" t="s">
        <v>885</v>
      </c>
      <c r="L29" t="s">
        <v>878</v>
      </c>
    </row>
    <row r="30" spans="3:12" x14ac:dyDescent="0.3">
      <c r="C30" t="s">
        <v>918</v>
      </c>
      <c r="D30" t="s">
        <v>919</v>
      </c>
      <c r="E30" t="s">
        <v>863</v>
      </c>
      <c r="F30" t="s">
        <v>904</v>
      </c>
      <c r="G30" s="124">
        <v>59.1</v>
      </c>
      <c r="H30" s="124">
        <v>34.83</v>
      </c>
      <c r="I30" s="124">
        <f t="shared" si="0"/>
        <v>2058.453</v>
      </c>
      <c r="J30" t="s">
        <v>884</v>
      </c>
      <c r="K30" t="s">
        <v>877</v>
      </c>
      <c r="L30" t="s">
        <v>889</v>
      </c>
    </row>
    <row r="31" spans="3:12" x14ac:dyDescent="0.3">
      <c r="C31" t="s">
        <v>920</v>
      </c>
      <c r="D31" t="s">
        <v>921</v>
      </c>
      <c r="E31" t="s">
        <v>863</v>
      </c>
      <c r="F31" t="s">
        <v>907</v>
      </c>
      <c r="G31" s="124">
        <v>22.5</v>
      </c>
      <c r="H31" s="124">
        <v>11.51</v>
      </c>
      <c r="I31" s="124">
        <f t="shared" si="0"/>
        <v>258.97500000000002</v>
      </c>
      <c r="J31" t="s">
        <v>876</v>
      </c>
      <c r="K31" t="s">
        <v>885</v>
      </c>
      <c r="L31" t="s">
        <v>889</v>
      </c>
    </row>
    <row r="32" spans="3:12" x14ac:dyDescent="0.3">
      <c r="C32" t="s">
        <v>922</v>
      </c>
      <c r="D32" t="s">
        <v>923</v>
      </c>
      <c r="E32" t="s">
        <v>861</v>
      </c>
      <c r="F32" t="s">
        <v>888</v>
      </c>
      <c r="G32" s="124">
        <v>15.1</v>
      </c>
      <c r="H32" s="124">
        <v>45.09</v>
      </c>
      <c r="I32" s="124">
        <f t="shared" si="0"/>
        <v>680.85900000000004</v>
      </c>
      <c r="J32" t="s">
        <v>876</v>
      </c>
      <c r="K32" t="s">
        <v>877</v>
      </c>
      <c r="L32" t="s">
        <v>889</v>
      </c>
    </row>
    <row r="33" spans="3:12" x14ac:dyDescent="0.3">
      <c r="C33" t="s">
        <v>924</v>
      </c>
      <c r="D33" t="s">
        <v>925</v>
      </c>
      <c r="E33" t="s">
        <v>668</v>
      </c>
      <c r="F33" t="s">
        <v>926</v>
      </c>
      <c r="G33" s="124">
        <v>52.36</v>
      </c>
      <c r="H33" s="124">
        <v>64.37</v>
      </c>
      <c r="I33" s="124">
        <f t="shared" si="0"/>
        <v>3370.4132000000004</v>
      </c>
      <c r="J33" t="s">
        <v>876</v>
      </c>
      <c r="K33" t="s">
        <v>885</v>
      </c>
      <c r="L33" t="s">
        <v>878</v>
      </c>
    </row>
    <row r="34" spans="3:12" x14ac:dyDescent="0.3">
      <c r="C34" t="s">
        <v>927</v>
      </c>
      <c r="D34" t="s">
        <v>928</v>
      </c>
      <c r="E34" t="s">
        <v>863</v>
      </c>
      <c r="F34" t="s">
        <v>888</v>
      </c>
      <c r="G34" s="124">
        <v>97.2</v>
      </c>
      <c r="H34" s="124">
        <v>30.3</v>
      </c>
      <c r="I34" s="124">
        <f t="shared" si="0"/>
        <v>2945.1600000000003</v>
      </c>
      <c r="J34" t="s">
        <v>876</v>
      </c>
      <c r="K34" t="s">
        <v>877</v>
      </c>
      <c r="L34" t="s">
        <v>889</v>
      </c>
    </row>
    <row r="35" spans="3:12" x14ac:dyDescent="0.3">
      <c r="C35" t="s">
        <v>927</v>
      </c>
      <c r="D35" t="s">
        <v>928</v>
      </c>
      <c r="E35" t="s">
        <v>863</v>
      </c>
      <c r="F35" t="s">
        <v>888</v>
      </c>
      <c r="G35" s="124">
        <v>97.2</v>
      </c>
      <c r="H35" s="124">
        <v>30.3</v>
      </c>
      <c r="I35" s="124">
        <f t="shared" si="0"/>
        <v>2945.1600000000003</v>
      </c>
      <c r="J35" t="s">
        <v>876</v>
      </c>
      <c r="K35" t="s">
        <v>877</v>
      </c>
      <c r="L35" t="s">
        <v>889</v>
      </c>
    </row>
    <row r="36" spans="3:12" x14ac:dyDescent="0.3">
      <c r="C36" t="s">
        <v>929</v>
      </c>
      <c r="D36" t="s">
        <v>930</v>
      </c>
      <c r="E36" t="s">
        <v>369</v>
      </c>
      <c r="F36" t="s">
        <v>892</v>
      </c>
      <c r="G36" s="124">
        <v>59.6</v>
      </c>
      <c r="H36" s="124">
        <v>39.97</v>
      </c>
      <c r="I36" s="124">
        <f t="shared" si="0"/>
        <v>2382.212</v>
      </c>
      <c r="J36" t="s">
        <v>876</v>
      </c>
      <c r="K36" t="s">
        <v>885</v>
      </c>
      <c r="L36" t="s">
        <v>878</v>
      </c>
    </row>
    <row r="37" spans="3:12" x14ac:dyDescent="0.3">
      <c r="C37" t="s">
        <v>931</v>
      </c>
      <c r="D37" t="s">
        <v>932</v>
      </c>
      <c r="E37" t="s">
        <v>361</v>
      </c>
      <c r="F37" t="s">
        <v>926</v>
      </c>
      <c r="G37" s="124">
        <v>64.290000000000006</v>
      </c>
      <c r="H37" s="124">
        <v>75.12</v>
      </c>
      <c r="I37" s="124">
        <f t="shared" si="0"/>
        <v>4829.4648000000007</v>
      </c>
      <c r="J37" t="s">
        <v>876</v>
      </c>
      <c r="K37" t="s">
        <v>877</v>
      </c>
      <c r="L37" t="s">
        <v>878</v>
      </c>
    </row>
    <row r="38" spans="3:12" x14ac:dyDescent="0.3">
      <c r="C38" t="s">
        <v>933</v>
      </c>
      <c r="D38" t="s">
        <v>934</v>
      </c>
      <c r="E38" t="s">
        <v>668</v>
      </c>
      <c r="F38" t="s">
        <v>892</v>
      </c>
      <c r="G38" s="124">
        <v>87.3</v>
      </c>
      <c r="H38" s="124">
        <v>19.68</v>
      </c>
      <c r="I38" s="124">
        <f t="shared" si="0"/>
        <v>1718.0639999999999</v>
      </c>
      <c r="J38" t="s">
        <v>884</v>
      </c>
      <c r="K38" t="s">
        <v>877</v>
      </c>
      <c r="L38" t="s">
        <v>889</v>
      </c>
    </row>
    <row r="39" spans="3:12" x14ac:dyDescent="0.3">
      <c r="C39" t="s">
        <v>935</v>
      </c>
      <c r="D39" t="s">
        <v>936</v>
      </c>
      <c r="E39" t="s">
        <v>668</v>
      </c>
      <c r="F39" t="s">
        <v>904</v>
      </c>
      <c r="G39" s="124">
        <v>11.9</v>
      </c>
      <c r="H39" s="124">
        <v>32.14</v>
      </c>
      <c r="I39" s="124">
        <f t="shared" si="0"/>
        <v>382.46600000000001</v>
      </c>
      <c r="J39" t="s">
        <v>876</v>
      </c>
      <c r="K39" t="s">
        <v>885</v>
      </c>
      <c r="L39" t="s">
        <v>889</v>
      </c>
    </row>
    <row r="40" spans="3:12" x14ac:dyDescent="0.3">
      <c r="C40" t="s">
        <v>937</v>
      </c>
      <c r="D40" t="s">
        <v>938</v>
      </c>
      <c r="E40" t="s">
        <v>369</v>
      </c>
      <c r="F40" t="s">
        <v>881</v>
      </c>
      <c r="G40" s="124">
        <v>96.3</v>
      </c>
      <c r="H40" s="124">
        <v>35.92</v>
      </c>
      <c r="I40" s="124">
        <f t="shared" si="0"/>
        <v>3459.096</v>
      </c>
      <c r="J40" t="s">
        <v>884</v>
      </c>
      <c r="K40" t="s">
        <v>877</v>
      </c>
      <c r="L40" t="s">
        <v>878</v>
      </c>
    </row>
    <row r="41" spans="3:12" x14ac:dyDescent="0.3">
      <c r="C41" t="s">
        <v>937</v>
      </c>
      <c r="D41" t="s">
        <v>938</v>
      </c>
      <c r="E41" t="s">
        <v>369</v>
      </c>
      <c r="F41" t="s">
        <v>881</v>
      </c>
      <c r="G41" s="124">
        <v>96.3</v>
      </c>
      <c r="H41" s="124">
        <v>35.92</v>
      </c>
      <c r="I41" s="124">
        <f t="shared" si="0"/>
        <v>3459.096</v>
      </c>
      <c r="J41" t="s">
        <v>884</v>
      </c>
      <c r="K41" t="s">
        <v>877</v>
      </c>
      <c r="L41" t="s">
        <v>878</v>
      </c>
    </row>
    <row r="42" spans="3:12" x14ac:dyDescent="0.3">
      <c r="C42" t="s">
        <v>939</v>
      </c>
      <c r="D42" t="s">
        <v>940</v>
      </c>
      <c r="E42" t="s">
        <v>863</v>
      </c>
      <c r="F42" t="s">
        <v>875</v>
      </c>
      <c r="G42" s="124">
        <v>13.6</v>
      </c>
      <c r="H42" s="124">
        <v>20.14</v>
      </c>
      <c r="I42" s="124">
        <f t="shared" si="0"/>
        <v>273.904</v>
      </c>
      <c r="J42" t="s">
        <v>876</v>
      </c>
      <c r="K42" t="s">
        <v>885</v>
      </c>
      <c r="L42" t="s">
        <v>889</v>
      </c>
    </row>
    <row r="43" spans="3:12" x14ac:dyDescent="0.3">
      <c r="C43" t="s">
        <v>941</v>
      </c>
      <c r="D43" t="s">
        <v>940</v>
      </c>
      <c r="E43" t="s">
        <v>361</v>
      </c>
      <c r="F43" t="s">
        <v>907</v>
      </c>
      <c r="G43" s="124">
        <v>68.599999999999994</v>
      </c>
      <c r="H43" s="124">
        <v>23.74</v>
      </c>
      <c r="I43" s="124">
        <f t="shared" si="0"/>
        <v>1628.5639999999999</v>
      </c>
      <c r="J43" t="s">
        <v>884</v>
      </c>
      <c r="K43" t="s">
        <v>877</v>
      </c>
      <c r="L43" t="s">
        <v>878</v>
      </c>
    </row>
    <row r="44" spans="3:12" x14ac:dyDescent="0.3">
      <c r="C44" t="s">
        <v>941</v>
      </c>
      <c r="D44" t="s">
        <v>940</v>
      </c>
      <c r="E44" t="s">
        <v>361</v>
      </c>
      <c r="F44" t="s">
        <v>907</v>
      </c>
      <c r="G44" s="124">
        <v>68.599999999999994</v>
      </c>
      <c r="H44" s="124">
        <v>23.74</v>
      </c>
      <c r="I44" s="124">
        <f t="shared" si="0"/>
        <v>1628.5639999999999</v>
      </c>
      <c r="J44" t="s">
        <v>884</v>
      </c>
      <c r="K44" t="s">
        <v>877</v>
      </c>
      <c r="L44" t="s">
        <v>878</v>
      </c>
    </row>
    <row r="45" spans="3:12" x14ac:dyDescent="0.3">
      <c r="C45" t="s">
        <v>942</v>
      </c>
      <c r="D45" t="s">
        <v>943</v>
      </c>
      <c r="E45" t="s">
        <v>861</v>
      </c>
      <c r="F45" t="s">
        <v>904</v>
      </c>
      <c r="G45" s="124">
        <v>29.3</v>
      </c>
      <c r="H45" s="124">
        <v>13.09</v>
      </c>
      <c r="I45" s="124">
        <f t="shared" si="0"/>
        <v>383.53699999999998</v>
      </c>
      <c r="J45" t="s">
        <v>876</v>
      </c>
      <c r="K45" t="s">
        <v>877</v>
      </c>
      <c r="L45" t="s">
        <v>889</v>
      </c>
    </row>
    <row r="46" spans="3:12" x14ac:dyDescent="0.3">
      <c r="C46" t="s">
        <v>944</v>
      </c>
      <c r="D46" t="s">
        <v>945</v>
      </c>
      <c r="E46" t="s">
        <v>369</v>
      </c>
      <c r="F46" t="s">
        <v>875</v>
      </c>
      <c r="G46" s="124">
        <v>26.42</v>
      </c>
      <c r="H46" s="124">
        <v>83.65</v>
      </c>
      <c r="I46" s="124">
        <f t="shared" si="0"/>
        <v>2210.0330000000004</v>
      </c>
      <c r="J46" t="s">
        <v>876</v>
      </c>
      <c r="K46" t="s">
        <v>885</v>
      </c>
      <c r="L46" t="s">
        <v>889</v>
      </c>
    </row>
    <row r="47" spans="3:12" x14ac:dyDescent="0.3">
      <c r="C47" t="s">
        <v>946</v>
      </c>
      <c r="D47" t="s">
        <v>947</v>
      </c>
      <c r="E47" t="s">
        <v>361</v>
      </c>
      <c r="F47" t="s">
        <v>892</v>
      </c>
      <c r="G47" s="124">
        <v>23.2</v>
      </c>
      <c r="H47" s="124">
        <v>45.11</v>
      </c>
      <c r="I47" s="124">
        <f t="shared" si="0"/>
        <v>1046.5519999999999</v>
      </c>
      <c r="J47" t="s">
        <v>884</v>
      </c>
      <c r="K47" t="s">
        <v>885</v>
      </c>
      <c r="L47" t="s">
        <v>878</v>
      </c>
    </row>
    <row r="48" spans="3:12" x14ac:dyDescent="0.3">
      <c r="C48" t="s">
        <v>948</v>
      </c>
      <c r="D48" t="s">
        <v>949</v>
      </c>
      <c r="E48" t="s">
        <v>361</v>
      </c>
      <c r="F48" t="s">
        <v>904</v>
      </c>
      <c r="G48" s="124">
        <v>62.9</v>
      </c>
      <c r="H48" s="124">
        <v>47.9</v>
      </c>
      <c r="I48" s="124">
        <f t="shared" si="0"/>
        <v>3012.91</v>
      </c>
      <c r="J48" t="s">
        <v>876</v>
      </c>
      <c r="K48" t="s">
        <v>885</v>
      </c>
      <c r="L48" t="s">
        <v>889</v>
      </c>
    </row>
    <row r="49" spans="3:12" x14ac:dyDescent="0.3">
      <c r="C49" t="s">
        <v>950</v>
      </c>
      <c r="D49" t="s">
        <v>951</v>
      </c>
      <c r="E49" t="s">
        <v>369</v>
      </c>
      <c r="F49" t="s">
        <v>904</v>
      </c>
      <c r="G49" s="124">
        <v>85.3</v>
      </c>
      <c r="H49" s="124">
        <v>24.14</v>
      </c>
      <c r="I49" s="124">
        <f t="shared" si="0"/>
        <v>2059.1419999999998</v>
      </c>
      <c r="J49" t="s">
        <v>876</v>
      </c>
      <c r="K49" t="s">
        <v>885</v>
      </c>
      <c r="L49" t="s">
        <v>878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3" t="s">
        <v>354</v>
      </c>
      <c r="B1" s="73" t="s">
        <v>315</v>
      </c>
      <c r="C1" s="73" t="s">
        <v>317</v>
      </c>
      <c r="D1" s="73" t="s">
        <v>355</v>
      </c>
      <c r="E1" s="73" t="s">
        <v>84</v>
      </c>
      <c r="F1" s="73" t="s">
        <v>356</v>
      </c>
      <c r="G1" s="73" t="s">
        <v>357</v>
      </c>
      <c r="H1" s="73" t="s">
        <v>252</v>
      </c>
      <c r="K1" s="87" t="s">
        <v>953</v>
      </c>
    </row>
    <row r="2" spans="1:11" x14ac:dyDescent="0.3">
      <c r="A2" s="70">
        <v>1</v>
      </c>
      <c r="B2" s="71" t="s">
        <v>418</v>
      </c>
      <c r="C2" s="71" t="s">
        <v>419</v>
      </c>
      <c r="D2" s="71" t="s">
        <v>361</v>
      </c>
      <c r="E2" s="71" t="s">
        <v>420</v>
      </c>
      <c r="F2" s="71" t="s">
        <v>421</v>
      </c>
      <c r="G2" s="72">
        <v>28126</v>
      </c>
      <c r="H2" s="74">
        <v>21875</v>
      </c>
    </row>
    <row r="3" spans="1:11" x14ac:dyDescent="0.3">
      <c r="A3" s="70">
        <v>3</v>
      </c>
      <c r="B3" s="71" t="s">
        <v>503</v>
      </c>
      <c r="C3" s="71" t="s">
        <v>323</v>
      </c>
      <c r="D3" s="71" t="s">
        <v>373</v>
      </c>
      <c r="E3" s="71" t="s">
        <v>504</v>
      </c>
      <c r="F3" s="71" t="s">
        <v>505</v>
      </c>
      <c r="G3" s="72">
        <v>36220</v>
      </c>
      <c r="H3" s="74">
        <v>7000</v>
      </c>
    </row>
    <row r="4" spans="1:11" x14ac:dyDescent="0.3">
      <c r="A4" s="70">
        <v>4</v>
      </c>
      <c r="B4" s="71" t="s">
        <v>423</v>
      </c>
      <c r="C4" s="71" t="s">
        <v>424</v>
      </c>
      <c r="D4" s="71" t="s">
        <v>365</v>
      </c>
      <c r="E4" s="71" t="s">
        <v>420</v>
      </c>
      <c r="F4" s="71" t="s">
        <v>383</v>
      </c>
      <c r="G4" s="72">
        <v>29183</v>
      </c>
      <c r="H4" s="74">
        <v>12250</v>
      </c>
    </row>
    <row r="5" spans="1:11" x14ac:dyDescent="0.3">
      <c r="A5" s="70">
        <v>5</v>
      </c>
      <c r="B5" s="71" t="s">
        <v>425</v>
      </c>
      <c r="C5" s="71" t="s">
        <v>426</v>
      </c>
      <c r="D5" s="71" t="s">
        <v>389</v>
      </c>
      <c r="E5" s="71" t="s">
        <v>420</v>
      </c>
      <c r="F5" s="71" t="s">
        <v>427</v>
      </c>
      <c r="G5" s="72">
        <v>32755</v>
      </c>
      <c r="H5" s="74">
        <v>21000</v>
      </c>
    </row>
    <row r="6" spans="1:11" x14ac:dyDescent="0.3">
      <c r="A6" s="70">
        <v>6</v>
      </c>
      <c r="B6" s="71" t="s">
        <v>428</v>
      </c>
      <c r="C6" s="71" t="s">
        <v>429</v>
      </c>
      <c r="D6" s="71" t="s">
        <v>373</v>
      </c>
      <c r="E6" s="71" t="s">
        <v>420</v>
      </c>
      <c r="F6" s="71" t="s">
        <v>430</v>
      </c>
      <c r="G6" s="72">
        <v>32390</v>
      </c>
      <c r="H6" s="74">
        <v>12425</v>
      </c>
    </row>
    <row r="7" spans="1:11" x14ac:dyDescent="0.3">
      <c r="A7" s="70">
        <v>7</v>
      </c>
      <c r="B7" s="71" t="s">
        <v>543</v>
      </c>
      <c r="C7" s="71" t="s">
        <v>544</v>
      </c>
      <c r="D7" s="71" t="s">
        <v>382</v>
      </c>
      <c r="E7" s="71" t="s">
        <v>545</v>
      </c>
      <c r="F7" s="71" t="s">
        <v>546</v>
      </c>
      <c r="G7" s="72">
        <v>33102</v>
      </c>
      <c r="H7" s="74">
        <v>12425</v>
      </c>
    </row>
    <row r="8" spans="1:11" x14ac:dyDescent="0.3">
      <c r="A8" s="70">
        <v>8</v>
      </c>
      <c r="B8" s="71" t="s">
        <v>432</v>
      </c>
      <c r="C8" s="71" t="s">
        <v>433</v>
      </c>
      <c r="D8" s="71" t="s">
        <v>389</v>
      </c>
      <c r="E8" s="71" t="s">
        <v>420</v>
      </c>
      <c r="F8" s="71" t="s">
        <v>434</v>
      </c>
      <c r="G8" s="72">
        <v>32755</v>
      </c>
      <c r="H8" s="74">
        <v>12425</v>
      </c>
    </row>
    <row r="9" spans="1:11" x14ac:dyDescent="0.3">
      <c r="A9" s="70">
        <v>9</v>
      </c>
      <c r="B9" s="71" t="s">
        <v>435</v>
      </c>
      <c r="C9" s="71" t="s">
        <v>436</v>
      </c>
      <c r="D9" s="71" t="s">
        <v>361</v>
      </c>
      <c r="E9" s="71" t="s">
        <v>420</v>
      </c>
      <c r="F9" s="71" t="s">
        <v>437</v>
      </c>
      <c r="G9" s="72">
        <v>36506</v>
      </c>
      <c r="H9" s="74">
        <v>14875</v>
      </c>
    </row>
    <row r="10" spans="1:11" x14ac:dyDescent="0.3">
      <c r="A10" s="70">
        <v>10</v>
      </c>
      <c r="B10" s="71" t="s">
        <v>363</v>
      </c>
      <c r="C10" s="71" t="s">
        <v>364</v>
      </c>
      <c r="D10" s="71" t="s">
        <v>365</v>
      </c>
      <c r="E10" s="71" t="s">
        <v>90</v>
      </c>
      <c r="F10" s="71" t="s">
        <v>366</v>
      </c>
      <c r="G10" s="72">
        <v>28326</v>
      </c>
      <c r="H10" s="74">
        <v>15750</v>
      </c>
    </row>
    <row r="11" spans="1:11" x14ac:dyDescent="0.3">
      <c r="A11" s="70">
        <v>11</v>
      </c>
      <c r="B11" s="71" t="s">
        <v>547</v>
      </c>
      <c r="C11" s="71" t="s">
        <v>548</v>
      </c>
      <c r="D11" s="71" t="s">
        <v>369</v>
      </c>
      <c r="E11" s="71" t="s">
        <v>545</v>
      </c>
      <c r="F11" s="71" t="s">
        <v>546</v>
      </c>
      <c r="G11" s="72">
        <v>31402</v>
      </c>
      <c r="H11" s="74">
        <v>14875</v>
      </c>
    </row>
    <row r="12" spans="1:11" x14ac:dyDescent="0.3">
      <c r="A12" s="70">
        <v>12</v>
      </c>
      <c r="B12" s="71" t="s">
        <v>438</v>
      </c>
      <c r="C12" s="71" t="s">
        <v>439</v>
      </c>
      <c r="D12" s="71" t="s">
        <v>373</v>
      </c>
      <c r="E12" s="71" t="s">
        <v>420</v>
      </c>
      <c r="F12" s="71" t="s">
        <v>440</v>
      </c>
      <c r="G12" s="72">
        <v>30376</v>
      </c>
      <c r="H12" s="74">
        <v>21000</v>
      </c>
    </row>
    <row r="13" spans="1:11" x14ac:dyDescent="0.3">
      <c r="A13" s="70">
        <v>13</v>
      </c>
      <c r="B13" s="71" t="s">
        <v>367</v>
      </c>
      <c r="C13" s="71" t="s">
        <v>368</v>
      </c>
      <c r="D13" s="71" t="s">
        <v>369</v>
      </c>
      <c r="E13" s="71" t="s">
        <v>90</v>
      </c>
      <c r="F13" s="71" t="s">
        <v>370</v>
      </c>
      <c r="G13" s="72">
        <v>31027</v>
      </c>
      <c r="H13" s="74">
        <v>19250</v>
      </c>
    </row>
    <row r="14" spans="1:11" x14ac:dyDescent="0.3">
      <c r="A14" s="70">
        <v>14</v>
      </c>
      <c r="B14" s="71" t="s">
        <v>462</v>
      </c>
      <c r="C14" s="71" t="s">
        <v>401</v>
      </c>
      <c r="D14" s="71" t="s">
        <v>506</v>
      </c>
      <c r="E14" s="71" t="s">
        <v>504</v>
      </c>
      <c r="F14" s="71" t="s">
        <v>507</v>
      </c>
      <c r="G14" s="72">
        <v>31028</v>
      </c>
      <c r="H14" s="74">
        <v>49000</v>
      </c>
    </row>
    <row r="15" spans="1:11" x14ac:dyDescent="0.3">
      <c r="A15" s="70">
        <v>15</v>
      </c>
      <c r="B15" s="71" t="s">
        <v>441</v>
      </c>
      <c r="C15" s="71" t="s">
        <v>442</v>
      </c>
      <c r="D15" s="71" t="s">
        <v>382</v>
      </c>
      <c r="E15" s="71" t="s">
        <v>420</v>
      </c>
      <c r="F15" s="71" t="s">
        <v>440</v>
      </c>
      <c r="G15" s="72">
        <v>31029</v>
      </c>
      <c r="H15" s="74">
        <v>14875</v>
      </c>
    </row>
    <row r="16" spans="1:11" x14ac:dyDescent="0.3">
      <c r="A16" s="70">
        <v>16</v>
      </c>
      <c r="B16" s="71" t="s">
        <v>443</v>
      </c>
      <c r="C16" s="71" t="s">
        <v>444</v>
      </c>
      <c r="D16" s="71" t="s">
        <v>382</v>
      </c>
      <c r="E16" s="71" t="s">
        <v>420</v>
      </c>
      <c r="F16" s="71" t="s">
        <v>445</v>
      </c>
      <c r="G16" s="72">
        <v>31030</v>
      </c>
      <c r="H16" s="74">
        <v>14875</v>
      </c>
    </row>
    <row r="17" spans="1:8" x14ac:dyDescent="0.3">
      <c r="A17" s="70">
        <v>17</v>
      </c>
      <c r="B17" s="71" t="s">
        <v>371</v>
      </c>
      <c r="C17" s="71" t="s">
        <v>372</v>
      </c>
      <c r="D17" s="71" t="s">
        <v>373</v>
      </c>
      <c r="E17" s="71" t="s">
        <v>90</v>
      </c>
      <c r="F17" s="71" t="s">
        <v>362</v>
      </c>
      <c r="G17" s="72">
        <v>30376</v>
      </c>
      <c r="H17" s="74">
        <v>15750</v>
      </c>
    </row>
    <row r="18" spans="1:8" x14ac:dyDescent="0.3">
      <c r="A18" s="70">
        <v>18</v>
      </c>
      <c r="B18" s="71" t="s">
        <v>549</v>
      </c>
      <c r="C18" s="71" t="s">
        <v>550</v>
      </c>
      <c r="D18" s="71" t="s">
        <v>373</v>
      </c>
      <c r="E18" s="71" t="s">
        <v>545</v>
      </c>
      <c r="F18" s="71" t="s">
        <v>551</v>
      </c>
      <c r="G18" s="72">
        <v>30376</v>
      </c>
      <c r="H18" s="74">
        <v>15750</v>
      </c>
    </row>
    <row r="19" spans="1:8" x14ac:dyDescent="0.3">
      <c r="A19" s="70">
        <v>19</v>
      </c>
      <c r="B19" s="71" t="s">
        <v>446</v>
      </c>
      <c r="C19" s="71" t="s">
        <v>447</v>
      </c>
      <c r="D19" s="71" t="s">
        <v>365</v>
      </c>
      <c r="E19" s="71" t="s">
        <v>420</v>
      </c>
      <c r="F19" s="71" t="s">
        <v>430</v>
      </c>
      <c r="G19" s="72">
        <v>31637</v>
      </c>
      <c r="H19" s="74">
        <v>10500</v>
      </c>
    </row>
    <row r="20" spans="1:8" x14ac:dyDescent="0.3">
      <c r="A20" s="70">
        <v>20</v>
      </c>
      <c r="B20" s="71" t="s">
        <v>448</v>
      </c>
      <c r="C20" s="71" t="s">
        <v>449</v>
      </c>
      <c r="D20" s="71" t="s">
        <v>365</v>
      </c>
      <c r="E20" s="71" t="s">
        <v>420</v>
      </c>
      <c r="F20" s="71" t="s">
        <v>445</v>
      </c>
      <c r="G20" s="72">
        <v>36316</v>
      </c>
      <c r="H20" s="74">
        <v>5950</v>
      </c>
    </row>
    <row r="21" spans="1:8" x14ac:dyDescent="0.3">
      <c r="A21" s="70">
        <v>21</v>
      </c>
      <c r="B21" s="71" t="s">
        <v>374</v>
      </c>
      <c r="C21" s="71" t="s">
        <v>375</v>
      </c>
      <c r="D21" s="71" t="s">
        <v>365</v>
      </c>
      <c r="E21" s="71" t="s">
        <v>90</v>
      </c>
      <c r="F21" s="71" t="s">
        <v>376</v>
      </c>
      <c r="G21" s="72">
        <v>36317</v>
      </c>
      <c r="H21" s="74">
        <v>7875</v>
      </c>
    </row>
    <row r="22" spans="1:8" x14ac:dyDescent="0.3">
      <c r="A22" s="70">
        <v>22</v>
      </c>
      <c r="B22" s="71" t="s">
        <v>552</v>
      </c>
      <c r="C22" s="71" t="s">
        <v>476</v>
      </c>
      <c r="D22" s="71" t="s">
        <v>365</v>
      </c>
      <c r="E22" s="71" t="s">
        <v>545</v>
      </c>
      <c r="F22" s="71" t="s">
        <v>551</v>
      </c>
      <c r="G22" s="72">
        <v>36318</v>
      </c>
      <c r="H22" s="74">
        <v>7875</v>
      </c>
    </row>
    <row r="23" spans="1:8" x14ac:dyDescent="0.3">
      <c r="A23" s="70">
        <v>23</v>
      </c>
      <c r="B23" s="71" t="s">
        <v>553</v>
      </c>
      <c r="C23" s="71" t="s">
        <v>481</v>
      </c>
      <c r="D23" s="71" t="s">
        <v>365</v>
      </c>
      <c r="E23" s="71" t="s">
        <v>545</v>
      </c>
      <c r="F23" s="71" t="s">
        <v>546</v>
      </c>
      <c r="G23" s="72">
        <v>36319</v>
      </c>
      <c r="H23" s="74">
        <v>7875</v>
      </c>
    </row>
    <row r="24" spans="1:8" x14ac:dyDescent="0.3">
      <c r="A24" s="70">
        <v>24</v>
      </c>
      <c r="B24" s="71" t="s">
        <v>387</v>
      </c>
      <c r="C24" s="71" t="s">
        <v>554</v>
      </c>
      <c r="D24" s="71" t="s">
        <v>361</v>
      </c>
      <c r="E24" s="71" t="s">
        <v>545</v>
      </c>
      <c r="F24" s="71" t="s">
        <v>551</v>
      </c>
      <c r="G24" s="72">
        <v>29362</v>
      </c>
      <c r="H24" s="74">
        <v>14875</v>
      </c>
    </row>
    <row r="25" spans="1:8" x14ac:dyDescent="0.3">
      <c r="A25" s="70">
        <v>25</v>
      </c>
      <c r="B25" s="71" t="s">
        <v>508</v>
      </c>
      <c r="C25" s="71" t="s">
        <v>509</v>
      </c>
      <c r="D25" s="71" t="s">
        <v>389</v>
      </c>
      <c r="E25" s="71" t="s">
        <v>504</v>
      </c>
      <c r="F25" s="71" t="s">
        <v>510</v>
      </c>
      <c r="G25" s="72">
        <v>36274</v>
      </c>
      <c r="H25" s="74">
        <v>7875</v>
      </c>
    </row>
    <row r="26" spans="1:8" x14ac:dyDescent="0.3">
      <c r="A26" s="70">
        <v>26</v>
      </c>
      <c r="B26" s="71" t="s">
        <v>377</v>
      </c>
      <c r="C26" s="71" t="s">
        <v>378</v>
      </c>
      <c r="D26" s="71" t="s">
        <v>361</v>
      </c>
      <c r="E26" s="71" t="s">
        <v>90</v>
      </c>
      <c r="F26" s="71" t="s">
        <v>362</v>
      </c>
      <c r="G26" s="72">
        <v>30225</v>
      </c>
      <c r="H26" s="74">
        <v>19250</v>
      </c>
    </row>
    <row r="27" spans="1:8" x14ac:dyDescent="0.3">
      <c r="A27" s="70">
        <v>27</v>
      </c>
      <c r="B27" s="71" t="s">
        <v>511</v>
      </c>
      <c r="C27" s="71" t="s">
        <v>512</v>
      </c>
      <c r="D27" s="71" t="s">
        <v>361</v>
      </c>
      <c r="E27" s="71" t="s">
        <v>504</v>
      </c>
      <c r="F27" s="71" t="s">
        <v>513</v>
      </c>
      <c r="G27" s="72">
        <v>33787</v>
      </c>
      <c r="H27" s="74">
        <v>13125</v>
      </c>
    </row>
    <row r="28" spans="1:8" x14ac:dyDescent="0.3">
      <c r="A28" s="70">
        <v>28</v>
      </c>
      <c r="B28" s="71" t="s">
        <v>555</v>
      </c>
      <c r="C28" s="71" t="s">
        <v>556</v>
      </c>
      <c r="D28" s="71" t="s">
        <v>389</v>
      </c>
      <c r="E28" s="71" t="s">
        <v>545</v>
      </c>
      <c r="F28" s="71" t="s">
        <v>557</v>
      </c>
      <c r="G28" s="72">
        <v>34777</v>
      </c>
      <c r="H28" s="74">
        <v>10500</v>
      </c>
    </row>
    <row r="29" spans="1:8" x14ac:dyDescent="0.3">
      <c r="A29" s="70">
        <v>29</v>
      </c>
      <c r="B29" s="71" t="s">
        <v>450</v>
      </c>
      <c r="C29" s="71" t="s">
        <v>451</v>
      </c>
      <c r="D29" s="71" t="s">
        <v>373</v>
      </c>
      <c r="E29" s="71" t="s">
        <v>420</v>
      </c>
      <c r="F29" s="71" t="s">
        <v>445</v>
      </c>
      <c r="G29" s="72">
        <v>35189</v>
      </c>
      <c r="H29" s="74">
        <v>9625</v>
      </c>
    </row>
    <row r="30" spans="1:8" x14ac:dyDescent="0.3">
      <c r="A30" s="70">
        <v>30</v>
      </c>
      <c r="B30" s="71" t="s">
        <v>380</v>
      </c>
      <c r="C30" s="71" t="s">
        <v>381</v>
      </c>
      <c r="D30" s="71" t="s">
        <v>382</v>
      </c>
      <c r="E30" s="71" t="s">
        <v>90</v>
      </c>
      <c r="F30" s="71" t="s">
        <v>376</v>
      </c>
      <c r="G30" s="72">
        <v>32435</v>
      </c>
      <c r="H30" s="74">
        <v>14175</v>
      </c>
    </row>
    <row r="31" spans="1:8" x14ac:dyDescent="0.3">
      <c r="A31" s="70">
        <v>31</v>
      </c>
      <c r="B31" s="71" t="s">
        <v>452</v>
      </c>
      <c r="C31" s="71" t="s">
        <v>453</v>
      </c>
      <c r="D31" s="71" t="s">
        <v>389</v>
      </c>
      <c r="E31" s="71" t="s">
        <v>420</v>
      </c>
      <c r="F31" s="71" t="s">
        <v>434</v>
      </c>
      <c r="G31" s="72">
        <v>30225</v>
      </c>
      <c r="H31" s="74">
        <v>15750</v>
      </c>
    </row>
    <row r="32" spans="1:8" x14ac:dyDescent="0.3">
      <c r="A32" s="70">
        <v>32</v>
      </c>
      <c r="B32" s="71" t="s">
        <v>514</v>
      </c>
      <c r="C32" s="71" t="s">
        <v>470</v>
      </c>
      <c r="D32" s="71" t="s">
        <v>395</v>
      </c>
      <c r="E32" s="71" t="s">
        <v>504</v>
      </c>
      <c r="F32" s="71" t="s">
        <v>510</v>
      </c>
      <c r="G32" s="72">
        <v>30225</v>
      </c>
      <c r="H32" s="74">
        <v>15750</v>
      </c>
    </row>
    <row r="33" spans="1:8" x14ac:dyDescent="0.3">
      <c r="A33" s="70">
        <v>33</v>
      </c>
      <c r="B33" s="71" t="s">
        <v>454</v>
      </c>
      <c r="C33" s="71" t="s">
        <v>455</v>
      </c>
      <c r="D33" s="71" t="s">
        <v>395</v>
      </c>
      <c r="E33" s="71" t="s">
        <v>420</v>
      </c>
      <c r="F33" s="71" t="s">
        <v>437</v>
      </c>
      <c r="G33" s="72">
        <v>35618</v>
      </c>
      <c r="H33" s="74">
        <v>7000</v>
      </c>
    </row>
    <row r="34" spans="1:8" x14ac:dyDescent="0.3">
      <c r="A34" s="70">
        <v>34</v>
      </c>
      <c r="B34" s="71" t="s">
        <v>456</v>
      </c>
      <c r="C34" s="71" t="s">
        <v>457</v>
      </c>
      <c r="D34" s="71" t="s">
        <v>395</v>
      </c>
      <c r="E34" s="71" t="s">
        <v>420</v>
      </c>
      <c r="F34" s="71" t="s">
        <v>458</v>
      </c>
      <c r="G34" s="72">
        <v>33510</v>
      </c>
      <c r="H34" s="74">
        <v>8750</v>
      </c>
    </row>
    <row r="35" spans="1:8" x14ac:dyDescent="0.3">
      <c r="A35" s="70">
        <v>35</v>
      </c>
      <c r="B35" s="71" t="s">
        <v>515</v>
      </c>
      <c r="C35" s="71" t="s">
        <v>470</v>
      </c>
      <c r="D35" s="71" t="s">
        <v>365</v>
      </c>
      <c r="E35" s="71" t="s">
        <v>504</v>
      </c>
      <c r="F35" s="71" t="s">
        <v>510</v>
      </c>
      <c r="G35" s="72">
        <v>33729</v>
      </c>
      <c r="H35" s="74">
        <v>9275</v>
      </c>
    </row>
    <row r="36" spans="1:8" x14ac:dyDescent="0.3">
      <c r="A36" s="70">
        <v>36</v>
      </c>
      <c r="B36" s="71" t="s">
        <v>387</v>
      </c>
      <c r="C36" s="71" t="s">
        <v>558</v>
      </c>
      <c r="D36" s="71" t="s">
        <v>382</v>
      </c>
      <c r="E36" s="71" t="s">
        <v>545</v>
      </c>
      <c r="F36" s="71" t="s">
        <v>559</v>
      </c>
      <c r="G36" s="72">
        <v>34580</v>
      </c>
      <c r="H36" s="74">
        <v>11725</v>
      </c>
    </row>
    <row r="37" spans="1:8" x14ac:dyDescent="0.3">
      <c r="A37" s="70">
        <v>37</v>
      </c>
      <c r="B37" s="71" t="s">
        <v>438</v>
      </c>
      <c r="C37" s="71" t="s">
        <v>516</v>
      </c>
      <c r="D37" s="71" t="s">
        <v>369</v>
      </c>
      <c r="E37" s="71" t="s">
        <v>504</v>
      </c>
      <c r="F37" s="71" t="s">
        <v>517</v>
      </c>
      <c r="G37" s="72">
        <v>30225</v>
      </c>
      <c r="H37" s="74">
        <v>24500</v>
      </c>
    </row>
    <row r="38" spans="1:8" x14ac:dyDescent="0.3">
      <c r="A38" s="70">
        <v>38</v>
      </c>
      <c r="B38" s="71" t="s">
        <v>459</v>
      </c>
      <c r="C38" s="71" t="s">
        <v>460</v>
      </c>
      <c r="D38" s="71" t="s">
        <v>369</v>
      </c>
      <c r="E38" s="71" t="s">
        <v>420</v>
      </c>
      <c r="F38" s="71" t="s">
        <v>461</v>
      </c>
      <c r="G38" s="72">
        <v>30225</v>
      </c>
      <c r="H38" s="74">
        <v>24500</v>
      </c>
    </row>
    <row r="39" spans="1:8" x14ac:dyDescent="0.3">
      <c r="A39" s="70">
        <v>39</v>
      </c>
      <c r="B39" s="71" t="s">
        <v>462</v>
      </c>
      <c r="C39" s="71" t="s">
        <v>463</v>
      </c>
      <c r="D39" s="71" t="s">
        <v>369</v>
      </c>
      <c r="E39" s="71" t="s">
        <v>420</v>
      </c>
      <c r="F39" s="71" t="s">
        <v>464</v>
      </c>
      <c r="G39" s="72">
        <v>30225</v>
      </c>
      <c r="H39" s="74">
        <v>24500</v>
      </c>
    </row>
    <row r="40" spans="1:8" x14ac:dyDescent="0.3">
      <c r="A40" s="70">
        <v>40</v>
      </c>
      <c r="B40" s="71" t="s">
        <v>518</v>
      </c>
      <c r="C40" s="71" t="s">
        <v>519</v>
      </c>
      <c r="D40" s="71" t="s">
        <v>361</v>
      </c>
      <c r="E40" s="71" t="s">
        <v>504</v>
      </c>
      <c r="F40" s="71" t="s">
        <v>510</v>
      </c>
      <c r="G40" s="72">
        <v>33510</v>
      </c>
      <c r="H40" s="74">
        <v>10500</v>
      </c>
    </row>
    <row r="41" spans="1:8" x14ac:dyDescent="0.3">
      <c r="A41" s="70">
        <v>41</v>
      </c>
      <c r="B41" s="71" t="s">
        <v>384</v>
      </c>
      <c r="C41" s="71" t="s">
        <v>385</v>
      </c>
      <c r="D41" s="71" t="s">
        <v>373</v>
      </c>
      <c r="E41" s="71" t="s">
        <v>90</v>
      </c>
      <c r="F41" s="71" t="s">
        <v>366</v>
      </c>
      <c r="G41" s="72">
        <v>35595</v>
      </c>
      <c r="H41" s="74">
        <v>7875</v>
      </c>
    </row>
    <row r="42" spans="1:8" x14ac:dyDescent="0.3">
      <c r="A42" s="70">
        <v>42</v>
      </c>
      <c r="B42" s="71" t="s">
        <v>387</v>
      </c>
      <c r="C42" s="71" t="s">
        <v>388</v>
      </c>
      <c r="D42" s="71" t="s">
        <v>389</v>
      </c>
      <c r="E42" s="71" t="s">
        <v>90</v>
      </c>
      <c r="F42" s="71" t="s">
        <v>370</v>
      </c>
      <c r="G42" s="72">
        <v>33510</v>
      </c>
      <c r="H42" s="74">
        <v>13300</v>
      </c>
    </row>
    <row r="43" spans="1:8" x14ac:dyDescent="0.3">
      <c r="A43" s="70">
        <v>43</v>
      </c>
      <c r="B43" s="71" t="s">
        <v>560</v>
      </c>
      <c r="C43" s="71" t="s">
        <v>523</v>
      </c>
      <c r="D43" s="71" t="s">
        <v>382</v>
      </c>
      <c r="E43" s="71" t="s">
        <v>545</v>
      </c>
      <c r="F43" s="71" t="s">
        <v>557</v>
      </c>
      <c r="G43" s="72">
        <v>32435</v>
      </c>
      <c r="H43" s="74">
        <v>15750</v>
      </c>
    </row>
    <row r="44" spans="1:8" x14ac:dyDescent="0.3">
      <c r="A44" s="70">
        <v>44</v>
      </c>
      <c r="B44" s="71" t="s">
        <v>391</v>
      </c>
      <c r="C44" s="71" t="s">
        <v>392</v>
      </c>
      <c r="D44" s="71" t="s">
        <v>382</v>
      </c>
      <c r="E44" s="71" t="s">
        <v>90</v>
      </c>
      <c r="F44" s="71" t="s">
        <v>362</v>
      </c>
      <c r="G44" s="72">
        <v>33194</v>
      </c>
      <c r="H44" s="74">
        <v>13825</v>
      </c>
    </row>
    <row r="45" spans="1:8" x14ac:dyDescent="0.3">
      <c r="A45" s="70">
        <v>45</v>
      </c>
      <c r="B45" s="71" t="s">
        <v>465</v>
      </c>
      <c r="C45" s="71" t="s">
        <v>466</v>
      </c>
      <c r="D45" s="71" t="s">
        <v>389</v>
      </c>
      <c r="E45" s="71" t="s">
        <v>420</v>
      </c>
      <c r="F45" s="71" t="s">
        <v>421</v>
      </c>
      <c r="G45" s="72">
        <v>35618</v>
      </c>
      <c r="H45" s="74">
        <v>11375</v>
      </c>
    </row>
    <row r="46" spans="1:8" x14ac:dyDescent="0.3">
      <c r="A46" s="70">
        <v>46</v>
      </c>
      <c r="B46" s="71" t="s">
        <v>467</v>
      </c>
      <c r="C46" s="71" t="s">
        <v>468</v>
      </c>
      <c r="D46" s="71" t="s">
        <v>361</v>
      </c>
      <c r="E46" s="71" t="s">
        <v>420</v>
      </c>
      <c r="F46" s="71" t="s">
        <v>458</v>
      </c>
      <c r="G46" s="72">
        <v>33510</v>
      </c>
      <c r="H46" s="74">
        <v>15750</v>
      </c>
    </row>
    <row r="47" spans="1:8" x14ac:dyDescent="0.3">
      <c r="A47" s="70">
        <v>47</v>
      </c>
      <c r="B47" s="71" t="s">
        <v>469</v>
      </c>
      <c r="C47" s="71" t="s">
        <v>470</v>
      </c>
      <c r="D47" s="71" t="s">
        <v>373</v>
      </c>
      <c r="E47" s="71" t="s">
        <v>420</v>
      </c>
      <c r="F47" s="71" t="s">
        <v>427</v>
      </c>
      <c r="G47" s="72">
        <v>32180</v>
      </c>
      <c r="H47" s="74">
        <v>15750</v>
      </c>
    </row>
    <row r="48" spans="1:8" x14ac:dyDescent="0.3">
      <c r="A48" s="70">
        <v>48</v>
      </c>
      <c r="B48" s="71" t="s">
        <v>561</v>
      </c>
      <c r="C48" s="71" t="s">
        <v>470</v>
      </c>
      <c r="D48" s="71" t="s">
        <v>395</v>
      </c>
      <c r="E48" s="71" t="s">
        <v>545</v>
      </c>
      <c r="F48" s="71" t="s">
        <v>562</v>
      </c>
      <c r="G48" s="72">
        <v>32435</v>
      </c>
      <c r="H48" s="74">
        <v>15750</v>
      </c>
    </row>
    <row r="49" spans="1:8" x14ac:dyDescent="0.3">
      <c r="A49" s="70">
        <v>49</v>
      </c>
      <c r="B49" s="71" t="s">
        <v>520</v>
      </c>
      <c r="C49" s="71" t="s">
        <v>521</v>
      </c>
      <c r="D49" s="71" t="s">
        <v>395</v>
      </c>
      <c r="E49" s="71" t="s">
        <v>504</v>
      </c>
      <c r="F49" s="71" t="s">
        <v>507</v>
      </c>
      <c r="G49" s="72">
        <v>32435</v>
      </c>
      <c r="H49" s="74">
        <v>15750</v>
      </c>
    </row>
    <row r="50" spans="1:8" x14ac:dyDescent="0.3">
      <c r="A50" s="70">
        <v>50</v>
      </c>
      <c r="B50" s="71" t="s">
        <v>563</v>
      </c>
      <c r="C50" s="71" t="s">
        <v>468</v>
      </c>
      <c r="D50" s="71" t="s">
        <v>382</v>
      </c>
      <c r="E50" s="71" t="s">
        <v>545</v>
      </c>
      <c r="F50" s="71" t="s">
        <v>562</v>
      </c>
      <c r="G50" s="72">
        <v>32435</v>
      </c>
      <c r="H50" s="74">
        <v>15750</v>
      </c>
    </row>
    <row r="51" spans="1:8" x14ac:dyDescent="0.3">
      <c r="A51" s="70">
        <v>51</v>
      </c>
      <c r="B51" s="71" t="s">
        <v>471</v>
      </c>
      <c r="C51" s="71" t="s">
        <v>472</v>
      </c>
      <c r="D51" s="71" t="s">
        <v>361</v>
      </c>
      <c r="E51" s="71" t="s">
        <v>420</v>
      </c>
      <c r="F51" s="71" t="s">
        <v>440</v>
      </c>
      <c r="G51" s="72">
        <v>32436</v>
      </c>
      <c r="H51" s="74">
        <v>15750</v>
      </c>
    </row>
    <row r="52" spans="1:8" x14ac:dyDescent="0.3">
      <c r="A52" s="70">
        <v>52</v>
      </c>
      <c r="B52" s="71" t="s">
        <v>473</v>
      </c>
      <c r="C52" s="71" t="s">
        <v>474</v>
      </c>
      <c r="D52" s="71" t="s">
        <v>395</v>
      </c>
      <c r="E52" s="71" t="s">
        <v>420</v>
      </c>
      <c r="F52" s="71" t="s">
        <v>458</v>
      </c>
      <c r="G52" s="72">
        <v>32437</v>
      </c>
      <c r="H52" s="74">
        <v>19250</v>
      </c>
    </row>
    <row r="53" spans="1:8" x14ac:dyDescent="0.3">
      <c r="A53" s="70">
        <v>53</v>
      </c>
      <c r="B53" s="71" t="s">
        <v>564</v>
      </c>
      <c r="C53" s="71" t="s">
        <v>565</v>
      </c>
      <c r="D53" s="71" t="s">
        <v>395</v>
      </c>
      <c r="E53" s="71" t="s">
        <v>545</v>
      </c>
      <c r="F53" s="71" t="s">
        <v>566</v>
      </c>
      <c r="G53" s="72">
        <v>35034</v>
      </c>
      <c r="H53" s="74">
        <v>15750</v>
      </c>
    </row>
    <row r="54" spans="1:8" x14ac:dyDescent="0.3">
      <c r="A54" s="70">
        <v>54</v>
      </c>
      <c r="B54" s="71" t="s">
        <v>393</v>
      </c>
      <c r="C54" s="71" t="s">
        <v>394</v>
      </c>
      <c r="D54" s="71" t="s">
        <v>395</v>
      </c>
      <c r="E54" s="71" t="s">
        <v>90</v>
      </c>
      <c r="F54" s="71" t="s">
        <v>396</v>
      </c>
      <c r="G54" s="72">
        <v>34761</v>
      </c>
      <c r="H54" s="74">
        <v>15750</v>
      </c>
    </row>
    <row r="55" spans="1:8" x14ac:dyDescent="0.3">
      <c r="A55" s="70">
        <v>55</v>
      </c>
      <c r="B55" s="71" t="s">
        <v>397</v>
      </c>
      <c r="C55" s="71" t="s">
        <v>398</v>
      </c>
      <c r="D55" s="71" t="s">
        <v>395</v>
      </c>
      <c r="E55" s="71" t="s">
        <v>90</v>
      </c>
      <c r="F55" s="71" t="s">
        <v>399</v>
      </c>
      <c r="G55" s="72">
        <v>31717</v>
      </c>
      <c r="H55" s="74">
        <v>15750</v>
      </c>
    </row>
    <row r="56" spans="1:8" x14ac:dyDescent="0.3">
      <c r="A56" s="70">
        <v>56</v>
      </c>
      <c r="B56" s="71" t="s">
        <v>567</v>
      </c>
      <c r="C56" s="71" t="s">
        <v>568</v>
      </c>
      <c r="D56" s="71" t="s">
        <v>361</v>
      </c>
      <c r="E56" s="71" t="s">
        <v>545</v>
      </c>
      <c r="F56" s="71" t="s">
        <v>566</v>
      </c>
      <c r="G56" s="72">
        <v>33878</v>
      </c>
      <c r="H56" s="74">
        <v>14875</v>
      </c>
    </row>
    <row r="57" spans="1:8" x14ac:dyDescent="0.3">
      <c r="A57" s="70">
        <v>57</v>
      </c>
      <c r="B57" s="71" t="s">
        <v>522</v>
      </c>
      <c r="C57" s="71" t="s">
        <v>523</v>
      </c>
      <c r="D57" s="71" t="s">
        <v>361</v>
      </c>
      <c r="E57" s="71" t="s">
        <v>504</v>
      </c>
      <c r="F57" s="71" t="s">
        <v>524</v>
      </c>
      <c r="G57" s="72">
        <v>34098</v>
      </c>
      <c r="H57" s="74">
        <v>14875</v>
      </c>
    </row>
    <row r="58" spans="1:8" x14ac:dyDescent="0.3">
      <c r="A58" s="70">
        <v>58</v>
      </c>
      <c r="B58" s="71" t="s">
        <v>475</v>
      </c>
      <c r="C58" s="71" t="s">
        <v>476</v>
      </c>
      <c r="D58" s="71" t="s">
        <v>365</v>
      </c>
      <c r="E58" s="71" t="s">
        <v>420</v>
      </c>
      <c r="F58" s="71" t="s">
        <v>434</v>
      </c>
      <c r="G58" s="72">
        <v>33182</v>
      </c>
      <c r="H58" s="74">
        <v>17500</v>
      </c>
    </row>
    <row r="59" spans="1:8" x14ac:dyDescent="0.3">
      <c r="A59" s="70">
        <v>59</v>
      </c>
      <c r="B59" s="71" t="s">
        <v>525</v>
      </c>
      <c r="C59" s="71" t="s">
        <v>526</v>
      </c>
      <c r="D59" s="71" t="s">
        <v>373</v>
      </c>
      <c r="E59" s="71" t="s">
        <v>504</v>
      </c>
      <c r="F59" s="71" t="s">
        <v>513</v>
      </c>
      <c r="G59" s="72">
        <v>31791</v>
      </c>
      <c r="H59" s="74">
        <v>19250</v>
      </c>
    </row>
    <row r="60" spans="1:8" x14ac:dyDescent="0.3">
      <c r="A60" s="70">
        <v>60</v>
      </c>
      <c r="B60" s="71" t="s">
        <v>527</v>
      </c>
      <c r="C60" s="71" t="s">
        <v>528</v>
      </c>
      <c r="D60" s="71" t="s">
        <v>365</v>
      </c>
      <c r="E60" s="71" t="s">
        <v>504</v>
      </c>
      <c r="F60" s="71" t="s">
        <v>529</v>
      </c>
      <c r="G60" s="72">
        <v>32105</v>
      </c>
      <c r="H60" s="74">
        <v>19250</v>
      </c>
    </row>
    <row r="61" spans="1:8" x14ac:dyDescent="0.3">
      <c r="A61" s="70">
        <v>61</v>
      </c>
      <c r="B61" s="71" t="s">
        <v>477</v>
      </c>
      <c r="C61" s="71" t="s">
        <v>478</v>
      </c>
      <c r="D61" s="71" t="s">
        <v>373</v>
      </c>
      <c r="E61" s="71" t="s">
        <v>420</v>
      </c>
      <c r="F61" s="71" t="s">
        <v>434</v>
      </c>
      <c r="G61" s="72">
        <v>32106</v>
      </c>
      <c r="H61" s="74">
        <v>19250</v>
      </c>
    </row>
    <row r="62" spans="1:8" x14ac:dyDescent="0.3">
      <c r="A62" s="70">
        <v>62</v>
      </c>
      <c r="B62" s="71" t="s">
        <v>479</v>
      </c>
      <c r="C62" s="71" t="s">
        <v>372</v>
      </c>
      <c r="D62" s="71" t="s">
        <v>361</v>
      </c>
      <c r="E62" s="71" t="s">
        <v>420</v>
      </c>
      <c r="F62" s="71" t="s">
        <v>427</v>
      </c>
      <c r="G62" s="72">
        <v>32107</v>
      </c>
      <c r="H62" s="74">
        <v>19251</v>
      </c>
    </row>
    <row r="63" spans="1:8" x14ac:dyDescent="0.3">
      <c r="A63" s="70">
        <v>63</v>
      </c>
      <c r="B63" s="71" t="s">
        <v>480</v>
      </c>
      <c r="C63" s="71" t="s">
        <v>481</v>
      </c>
      <c r="D63" s="71" t="s">
        <v>389</v>
      </c>
      <c r="E63" s="71" t="s">
        <v>420</v>
      </c>
      <c r="F63" s="71" t="s">
        <v>440</v>
      </c>
      <c r="G63" s="72">
        <v>32440</v>
      </c>
      <c r="H63" s="74">
        <v>17500</v>
      </c>
    </row>
    <row r="64" spans="1:8" x14ac:dyDescent="0.3">
      <c r="A64" s="70">
        <v>64</v>
      </c>
      <c r="B64" s="71" t="s">
        <v>530</v>
      </c>
      <c r="C64" s="71" t="s">
        <v>531</v>
      </c>
      <c r="D64" s="71" t="s">
        <v>382</v>
      </c>
      <c r="E64" s="71" t="s">
        <v>504</v>
      </c>
      <c r="F64" s="71" t="s">
        <v>505</v>
      </c>
      <c r="G64" s="72">
        <v>32441</v>
      </c>
      <c r="H64" s="74">
        <v>17500</v>
      </c>
    </row>
    <row r="65" spans="1:8" x14ac:dyDescent="0.3">
      <c r="A65" s="70">
        <v>65</v>
      </c>
      <c r="B65" s="71" t="s">
        <v>400</v>
      </c>
      <c r="C65" s="71" t="s">
        <v>401</v>
      </c>
      <c r="D65" s="71" t="s">
        <v>395</v>
      </c>
      <c r="E65" s="71" t="s">
        <v>90</v>
      </c>
      <c r="F65" s="71" t="s">
        <v>370</v>
      </c>
      <c r="G65" s="72">
        <v>32442</v>
      </c>
      <c r="H65" s="74">
        <v>17500</v>
      </c>
    </row>
    <row r="66" spans="1:8" x14ac:dyDescent="0.3">
      <c r="A66" s="70">
        <v>66</v>
      </c>
      <c r="B66" s="71" t="s">
        <v>482</v>
      </c>
      <c r="C66" s="71" t="s">
        <v>483</v>
      </c>
      <c r="D66" s="71" t="s">
        <v>382</v>
      </c>
      <c r="E66" s="71" t="s">
        <v>420</v>
      </c>
      <c r="F66" s="71" t="s">
        <v>434</v>
      </c>
      <c r="G66" s="72">
        <v>32443</v>
      </c>
      <c r="H66" s="74">
        <v>17500</v>
      </c>
    </row>
    <row r="67" spans="1:8" x14ac:dyDescent="0.3">
      <c r="A67" s="70">
        <v>67</v>
      </c>
      <c r="B67" s="71" t="s">
        <v>484</v>
      </c>
      <c r="C67" s="71" t="s">
        <v>403</v>
      </c>
      <c r="D67" s="71" t="s">
        <v>382</v>
      </c>
      <c r="E67" s="71" t="s">
        <v>420</v>
      </c>
      <c r="F67" s="71" t="s">
        <v>458</v>
      </c>
      <c r="G67" s="72">
        <v>32444</v>
      </c>
      <c r="H67" s="74">
        <v>20125</v>
      </c>
    </row>
    <row r="68" spans="1:8" x14ac:dyDescent="0.3">
      <c r="A68" s="70">
        <v>68</v>
      </c>
      <c r="B68" s="71" t="s">
        <v>485</v>
      </c>
      <c r="C68" s="71" t="s">
        <v>401</v>
      </c>
      <c r="D68" s="71" t="s">
        <v>361</v>
      </c>
      <c r="E68" s="71" t="s">
        <v>420</v>
      </c>
      <c r="F68" s="71" t="s">
        <v>464</v>
      </c>
      <c r="G68" s="72">
        <v>35034</v>
      </c>
      <c r="H68" s="74">
        <v>14000</v>
      </c>
    </row>
    <row r="69" spans="1:8" x14ac:dyDescent="0.3">
      <c r="A69" s="70">
        <v>69</v>
      </c>
      <c r="B69" s="71" t="s">
        <v>486</v>
      </c>
      <c r="C69" s="71" t="s">
        <v>470</v>
      </c>
      <c r="D69" s="71" t="s">
        <v>382</v>
      </c>
      <c r="E69" s="71" t="s">
        <v>420</v>
      </c>
      <c r="F69" s="71" t="s">
        <v>464</v>
      </c>
      <c r="G69" s="72">
        <v>34761</v>
      </c>
      <c r="H69" s="74">
        <v>14000</v>
      </c>
    </row>
    <row r="70" spans="1:8" x14ac:dyDescent="0.3">
      <c r="A70" s="70">
        <v>70</v>
      </c>
      <c r="B70" s="71" t="s">
        <v>402</v>
      </c>
      <c r="C70" s="71" t="s">
        <v>403</v>
      </c>
      <c r="D70" s="71" t="s">
        <v>365</v>
      </c>
      <c r="E70" s="71" t="s">
        <v>90</v>
      </c>
      <c r="F70" s="71" t="s">
        <v>370</v>
      </c>
      <c r="G70" s="72">
        <v>34762</v>
      </c>
      <c r="H70" s="74">
        <v>14000</v>
      </c>
    </row>
    <row r="71" spans="1:8" x14ac:dyDescent="0.3">
      <c r="A71" s="70">
        <v>71</v>
      </c>
      <c r="B71" s="71" t="s">
        <v>569</v>
      </c>
      <c r="C71" s="71" t="s">
        <v>570</v>
      </c>
      <c r="D71" s="71" t="s">
        <v>389</v>
      </c>
      <c r="E71" s="71" t="s">
        <v>545</v>
      </c>
      <c r="F71" s="71" t="s">
        <v>571</v>
      </c>
      <c r="G71" s="72">
        <v>34763</v>
      </c>
      <c r="H71" s="74">
        <v>14000</v>
      </c>
    </row>
    <row r="72" spans="1:8" x14ac:dyDescent="0.3">
      <c r="A72" s="70">
        <v>72</v>
      </c>
      <c r="B72" s="71" t="s">
        <v>532</v>
      </c>
      <c r="C72" s="71" t="s">
        <v>453</v>
      </c>
      <c r="D72" s="71" t="s">
        <v>389</v>
      </c>
      <c r="E72" s="71" t="s">
        <v>504</v>
      </c>
      <c r="F72" s="71" t="s">
        <v>517</v>
      </c>
      <c r="G72" s="72">
        <v>32438</v>
      </c>
      <c r="H72" s="74">
        <v>17500</v>
      </c>
    </row>
    <row r="73" spans="1:8" x14ac:dyDescent="0.3">
      <c r="A73" s="70">
        <v>73</v>
      </c>
      <c r="B73" s="71" t="s">
        <v>487</v>
      </c>
      <c r="C73" s="71" t="s">
        <v>488</v>
      </c>
      <c r="D73" s="71" t="s">
        <v>395</v>
      </c>
      <c r="E73" s="71" t="s">
        <v>420</v>
      </c>
      <c r="F73" s="71" t="s">
        <v>445</v>
      </c>
      <c r="G73" s="72">
        <v>32439</v>
      </c>
      <c r="H73" s="74">
        <v>17500</v>
      </c>
    </row>
    <row r="74" spans="1:8" x14ac:dyDescent="0.3">
      <c r="A74" s="70">
        <v>74</v>
      </c>
      <c r="B74" s="71" t="s">
        <v>404</v>
      </c>
      <c r="C74" s="71" t="s">
        <v>405</v>
      </c>
      <c r="D74" s="71" t="s">
        <v>361</v>
      </c>
      <c r="E74" s="71" t="s">
        <v>90</v>
      </c>
      <c r="F74" s="71" t="s">
        <v>366</v>
      </c>
      <c r="G74" s="72">
        <v>32440</v>
      </c>
      <c r="H74" s="74">
        <v>17500</v>
      </c>
    </row>
    <row r="75" spans="1:8" x14ac:dyDescent="0.3">
      <c r="A75" s="70">
        <v>75</v>
      </c>
      <c r="B75" s="71" t="s">
        <v>407</v>
      </c>
      <c r="C75" s="71" t="s">
        <v>408</v>
      </c>
      <c r="D75" s="71" t="s">
        <v>373</v>
      </c>
      <c r="E75" s="71" t="s">
        <v>90</v>
      </c>
      <c r="F75" s="71" t="s">
        <v>370</v>
      </c>
      <c r="G75" s="72">
        <v>32441</v>
      </c>
      <c r="H75" s="74">
        <v>17500</v>
      </c>
    </row>
    <row r="76" spans="1:8" x14ac:dyDescent="0.3">
      <c r="A76" s="70">
        <v>76</v>
      </c>
      <c r="B76" s="71" t="s">
        <v>572</v>
      </c>
      <c r="C76" s="71" t="s">
        <v>392</v>
      </c>
      <c r="D76" s="71" t="s">
        <v>395</v>
      </c>
      <c r="E76" s="71" t="s">
        <v>545</v>
      </c>
      <c r="F76" s="71" t="s">
        <v>571</v>
      </c>
      <c r="G76" s="72">
        <v>32442</v>
      </c>
      <c r="H76" s="74">
        <v>17500</v>
      </c>
    </row>
    <row r="77" spans="1:8" x14ac:dyDescent="0.3">
      <c r="A77" s="70">
        <v>77</v>
      </c>
      <c r="B77" s="71" t="s">
        <v>489</v>
      </c>
      <c r="C77" s="71" t="s">
        <v>483</v>
      </c>
      <c r="D77" s="71" t="s">
        <v>389</v>
      </c>
      <c r="E77" s="71" t="s">
        <v>420</v>
      </c>
      <c r="F77" s="71" t="s">
        <v>383</v>
      </c>
      <c r="G77" s="72">
        <v>32443</v>
      </c>
      <c r="H77" s="74">
        <v>17500</v>
      </c>
    </row>
    <row r="78" spans="1:8" x14ac:dyDescent="0.3">
      <c r="A78" s="70">
        <v>78</v>
      </c>
      <c r="B78" s="71" t="s">
        <v>573</v>
      </c>
      <c r="C78" s="71" t="s">
        <v>574</v>
      </c>
      <c r="D78" s="71" t="s">
        <v>361</v>
      </c>
      <c r="E78" s="71" t="s">
        <v>545</v>
      </c>
      <c r="F78" s="71" t="s">
        <v>557</v>
      </c>
      <c r="G78" s="72">
        <v>32444</v>
      </c>
      <c r="H78" s="74">
        <v>17500</v>
      </c>
    </row>
    <row r="79" spans="1:8" x14ac:dyDescent="0.3">
      <c r="A79" s="70">
        <v>79</v>
      </c>
      <c r="B79" s="71" t="s">
        <v>490</v>
      </c>
      <c r="C79" s="71" t="s">
        <v>491</v>
      </c>
      <c r="D79" s="71" t="s">
        <v>365</v>
      </c>
      <c r="E79" s="71" t="s">
        <v>420</v>
      </c>
      <c r="F79" s="71" t="s">
        <v>383</v>
      </c>
      <c r="G79" s="72">
        <v>32445</v>
      </c>
      <c r="H79" s="74">
        <v>17500</v>
      </c>
    </row>
    <row r="80" spans="1:8" x14ac:dyDescent="0.3">
      <c r="A80" s="70">
        <v>80</v>
      </c>
      <c r="B80" s="71" t="s">
        <v>492</v>
      </c>
      <c r="C80" s="71" t="s">
        <v>493</v>
      </c>
      <c r="D80" s="71" t="s">
        <v>365</v>
      </c>
      <c r="E80" s="71" t="s">
        <v>420</v>
      </c>
      <c r="F80" s="71" t="s">
        <v>421</v>
      </c>
      <c r="G80" s="72">
        <v>32446</v>
      </c>
      <c r="H80" s="74">
        <v>17500</v>
      </c>
    </row>
    <row r="81" spans="1:8" x14ac:dyDescent="0.3">
      <c r="A81" s="70">
        <v>81</v>
      </c>
      <c r="B81" s="71" t="s">
        <v>533</v>
      </c>
      <c r="C81" s="71" t="s">
        <v>534</v>
      </c>
      <c r="D81" s="71" t="s">
        <v>395</v>
      </c>
      <c r="E81" s="71" t="s">
        <v>504</v>
      </c>
      <c r="F81" s="71" t="s">
        <v>524</v>
      </c>
      <c r="G81" s="72">
        <v>32447</v>
      </c>
      <c r="H81" s="74">
        <v>17500</v>
      </c>
    </row>
    <row r="82" spans="1:8" x14ac:dyDescent="0.3">
      <c r="A82" s="70">
        <v>82</v>
      </c>
      <c r="B82" s="71" t="s">
        <v>410</v>
      </c>
      <c r="C82" s="71" t="s">
        <v>411</v>
      </c>
      <c r="D82" s="71" t="s">
        <v>389</v>
      </c>
      <c r="E82" s="71" t="s">
        <v>90</v>
      </c>
      <c r="F82" s="71" t="s">
        <v>362</v>
      </c>
      <c r="G82" s="72">
        <v>32448</v>
      </c>
      <c r="H82" s="74">
        <v>17500</v>
      </c>
    </row>
    <row r="83" spans="1:8" x14ac:dyDescent="0.3">
      <c r="A83" s="70">
        <v>83</v>
      </c>
      <c r="B83" s="71" t="s">
        <v>494</v>
      </c>
      <c r="C83" s="71" t="s">
        <v>483</v>
      </c>
      <c r="D83" s="71" t="s">
        <v>395</v>
      </c>
      <c r="E83" s="71" t="s">
        <v>420</v>
      </c>
      <c r="F83" s="71" t="s">
        <v>461</v>
      </c>
      <c r="G83" s="72">
        <v>36221</v>
      </c>
      <c r="H83" s="74">
        <v>7000</v>
      </c>
    </row>
    <row r="84" spans="1:8" x14ac:dyDescent="0.3">
      <c r="A84" s="70">
        <v>84</v>
      </c>
      <c r="B84" s="71" t="s">
        <v>413</v>
      </c>
      <c r="C84" s="71" t="s">
        <v>414</v>
      </c>
      <c r="D84" s="71" t="s">
        <v>389</v>
      </c>
      <c r="E84" s="71" t="s">
        <v>90</v>
      </c>
      <c r="F84" s="71" t="s">
        <v>370</v>
      </c>
      <c r="G84" s="72">
        <v>36222</v>
      </c>
      <c r="H84" s="74">
        <v>7000</v>
      </c>
    </row>
    <row r="85" spans="1:8" x14ac:dyDescent="0.3">
      <c r="A85" s="70">
        <v>85</v>
      </c>
      <c r="B85" s="71" t="s">
        <v>495</v>
      </c>
      <c r="C85" s="71" t="s">
        <v>496</v>
      </c>
      <c r="D85" s="71" t="s">
        <v>389</v>
      </c>
      <c r="E85" s="71" t="s">
        <v>420</v>
      </c>
      <c r="F85" s="71" t="s">
        <v>434</v>
      </c>
      <c r="G85" s="72">
        <v>35809</v>
      </c>
      <c r="H85" s="74">
        <v>7000</v>
      </c>
    </row>
    <row r="86" spans="1:8" x14ac:dyDescent="0.3">
      <c r="A86" s="70">
        <v>86</v>
      </c>
      <c r="B86" s="71" t="s">
        <v>497</v>
      </c>
      <c r="C86" s="71" t="s">
        <v>375</v>
      </c>
      <c r="D86" s="71" t="s">
        <v>395</v>
      </c>
      <c r="E86" s="71" t="s">
        <v>420</v>
      </c>
      <c r="F86" s="71" t="s">
        <v>440</v>
      </c>
      <c r="G86" s="72">
        <v>35810</v>
      </c>
      <c r="H86" s="74">
        <v>17500</v>
      </c>
    </row>
    <row r="87" spans="1:8" x14ac:dyDescent="0.3">
      <c r="A87" s="70">
        <v>87</v>
      </c>
      <c r="B87" s="71" t="s">
        <v>535</v>
      </c>
      <c r="C87" s="71" t="s">
        <v>536</v>
      </c>
      <c r="D87" s="71" t="s">
        <v>365</v>
      </c>
      <c r="E87" s="71" t="s">
        <v>504</v>
      </c>
      <c r="F87" s="71" t="s">
        <v>505</v>
      </c>
      <c r="G87" s="72">
        <v>35811</v>
      </c>
      <c r="H87" s="74">
        <v>17500</v>
      </c>
    </row>
    <row r="88" spans="1:8" x14ac:dyDescent="0.3">
      <c r="A88" s="70">
        <v>88</v>
      </c>
      <c r="B88" s="71" t="s">
        <v>575</v>
      </c>
      <c r="C88" s="71" t="s">
        <v>576</v>
      </c>
      <c r="D88" s="71" t="s">
        <v>365</v>
      </c>
      <c r="E88" s="71" t="s">
        <v>545</v>
      </c>
      <c r="F88" s="71" t="s">
        <v>546</v>
      </c>
      <c r="G88" s="72">
        <v>35794</v>
      </c>
      <c r="H88" s="74">
        <v>7875</v>
      </c>
    </row>
    <row r="89" spans="1:8" x14ac:dyDescent="0.3">
      <c r="A89" s="70">
        <v>89</v>
      </c>
      <c r="B89" s="71" t="s">
        <v>498</v>
      </c>
      <c r="C89" s="71" t="s">
        <v>499</v>
      </c>
      <c r="D89" s="71" t="s">
        <v>361</v>
      </c>
      <c r="E89" s="71" t="s">
        <v>420</v>
      </c>
      <c r="F89" s="71" t="s">
        <v>461</v>
      </c>
      <c r="G89" s="72">
        <v>28907</v>
      </c>
      <c r="H89" s="74">
        <v>22750</v>
      </c>
    </row>
    <row r="90" spans="1:8" x14ac:dyDescent="0.3">
      <c r="A90" s="70">
        <v>90</v>
      </c>
      <c r="B90" s="71" t="s">
        <v>500</v>
      </c>
      <c r="C90" s="71" t="s">
        <v>466</v>
      </c>
      <c r="D90" s="71" t="s">
        <v>389</v>
      </c>
      <c r="E90" s="71" t="s">
        <v>420</v>
      </c>
      <c r="F90" s="71" t="s">
        <v>445</v>
      </c>
      <c r="G90" s="72">
        <v>29226</v>
      </c>
      <c r="H90" s="74">
        <v>22750</v>
      </c>
    </row>
    <row r="91" spans="1:8" x14ac:dyDescent="0.3">
      <c r="A91" s="70">
        <v>91</v>
      </c>
      <c r="B91" s="71" t="s">
        <v>415</v>
      </c>
      <c r="C91" s="71" t="s">
        <v>416</v>
      </c>
      <c r="D91" s="71" t="s">
        <v>361</v>
      </c>
      <c r="E91" s="71" t="s">
        <v>90</v>
      </c>
      <c r="F91" s="71" t="s">
        <v>370</v>
      </c>
      <c r="G91" s="72">
        <v>29172</v>
      </c>
      <c r="H91" s="74">
        <v>22750</v>
      </c>
    </row>
    <row r="92" spans="1:8" x14ac:dyDescent="0.3">
      <c r="A92" s="70">
        <v>92</v>
      </c>
      <c r="B92" s="71" t="s">
        <v>201</v>
      </c>
      <c r="C92" s="71" t="s">
        <v>417</v>
      </c>
      <c r="D92" s="71" t="s">
        <v>365</v>
      </c>
      <c r="E92" s="71" t="s">
        <v>90</v>
      </c>
      <c r="F92" s="71" t="s">
        <v>396</v>
      </c>
      <c r="G92" s="72">
        <v>32603</v>
      </c>
      <c r="H92" s="74">
        <v>17325</v>
      </c>
    </row>
    <row r="93" spans="1:8" x14ac:dyDescent="0.3">
      <c r="A93" s="70">
        <v>93</v>
      </c>
      <c r="B93" s="71" t="s">
        <v>537</v>
      </c>
      <c r="C93" s="71" t="s">
        <v>372</v>
      </c>
      <c r="D93" s="71" t="s">
        <v>361</v>
      </c>
      <c r="E93" s="71" t="s">
        <v>504</v>
      </c>
      <c r="F93" s="71" t="s">
        <v>513</v>
      </c>
      <c r="G93" s="72">
        <v>32604</v>
      </c>
      <c r="H93" s="74">
        <v>17325</v>
      </c>
    </row>
    <row r="94" spans="1:8" x14ac:dyDescent="0.3">
      <c r="A94" s="70">
        <v>94</v>
      </c>
      <c r="B94" s="71" t="s">
        <v>577</v>
      </c>
      <c r="C94" s="71" t="s">
        <v>578</v>
      </c>
      <c r="D94" s="71" t="s">
        <v>365</v>
      </c>
      <c r="E94" s="71" t="s">
        <v>545</v>
      </c>
      <c r="F94" s="71" t="s">
        <v>559</v>
      </c>
      <c r="G94" s="72">
        <v>32605</v>
      </c>
      <c r="H94" s="74">
        <v>17325</v>
      </c>
    </row>
    <row r="95" spans="1:8" x14ac:dyDescent="0.3">
      <c r="A95" s="70">
        <v>95</v>
      </c>
      <c r="B95" s="71" t="s">
        <v>538</v>
      </c>
      <c r="C95" s="71" t="s">
        <v>457</v>
      </c>
      <c r="D95" s="71" t="s">
        <v>365</v>
      </c>
      <c r="E95" s="71" t="s">
        <v>504</v>
      </c>
      <c r="F95" s="71" t="s">
        <v>513</v>
      </c>
      <c r="G95" s="72">
        <v>32606</v>
      </c>
      <c r="H95" s="74">
        <v>17325</v>
      </c>
    </row>
    <row r="96" spans="1:8" x14ac:dyDescent="0.3">
      <c r="A96" s="70">
        <v>96</v>
      </c>
      <c r="B96" s="71" t="s">
        <v>423</v>
      </c>
      <c r="C96" s="71" t="s">
        <v>323</v>
      </c>
      <c r="D96" s="71" t="s">
        <v>389</v>
      </c>
      <c r="E96" s="71" t="s">
        <v>545</v>
      </c>
      <c r="F96" s="71" t="s">
        <v>566</v>
      </c>
      <c r="G96" s="72">
        <v>32607</v>
      </c>
      <c r="H96" s="74">
        <v>17325</v>
      </c>
    </row>
    <row r="97" spans="1:8" x14ac:dyDescent="0.3">
      <c r="A97" s="70">
        <v>97</v>
      </c>
      <c r="B97" s="71" t="s">
        <v>539</v>
      </c>
      <c r="C97" s="71" t="s">
        <v>540</v>
      </c>
      <c r="D97" s="71" t="s">
        <v>389</v>
      </c>
      <c r="E97" s="71" t="s">
        <v>504</v>
      </c>
      <c r="F97" s="71" t="s">
        <v>529</v>
      </c>
      <c r="G97" s="72">
        <v>32608</v>
      </c>
      <c r="H97" s="74">
        <v>17325</v>
      </c>
    </row>
    <row r="98" spans="1:8" x14ac:dyDescent="0.3">
      <c r="A98" s="70">
        <v>98</v>
      </c>
      <c r="B98" s="71" t="s">
        <v>501</v>
      </c>
      <c r="C98" s="71" t="s">
        <v>502</v>
      </c>
      <c r="D98" s="71" t="s">
        <v>395</v>
      </c>
      <c r="E98" s="71" t="s">
        <v>420</v>
      </c>
      <c r="F98" s="71" t="s">
        <v>383</v>
      </c>
      <c r="G98" s="72">
        <v>32609</v>
      </c>
      <c r="H98" s="74">
        <v>17325</v>
      </c>
    </row>
    <row r="99" spans="1:8" x14ac:dyDescent="0.3">
      <c r="A99" s="70">
        <v>99</v>
      </c>
      <c r="B99" s="71" t="s">
        <v>579</v>
      </c>
      <c r="C99" s="71" t="s">
        <v>483</v>
      </c>
      <c r="D99" s="71" t="s">
        <v>369</v>
      </c>
      <c r="E99" s="71" t="s">
        <v>545</v>
      </c>
      <c r="F99" s="71" t="s">
        <v>557</v>
      </c>
      <c r="G99" s="72">
        <v>35794</v>
      </c>
      <c r="H99" s="74">
        <v>10500</v>
      </c>
    </row>
    <row r="100" spans="1:8" x14ac:dyDescent="0.3">
      <c r="A100" s="70">
        <v>100</v>
      </c>
      <c r="B100" s="71" t="s">
        <v>541</v>
      </c>
      <c r="C100" s="71" t="s">
        <v>542</v>
      </c>
      <c r="D100" s="71" t="s">
        <v>369</v>
      </c>
      <c r="E100" s="71" t="s">
        <v>504</v>
      </c>
      <c r="F100" s="71" t="s">
        <v>505</v>
      </c>
      <c r="G100" s="72">
        <v>36193</v>
      </c>
      <c r="H100" s="74">
        <v>7875</v>
      </c>
    </row>
    <row r="101" spans="1:8" x14ac:dyDescent="0.3">
      <c r="A101" s="70">
        <v>101</v>
      </c>
      <c r="B101" s="71" t="s">
        <v>954</v>
      </c>
      <c r="C101" s="71" t="s">
        <v>955</v>
      </c>
      <c r="D101" s="71" t="s">
        <v>952</v>
      </c>
      <c r="E101" s="71" t="s">
        <v>90</v>
      </c>
      <c r="F101" s="71" t="s">
        <v>362</v>
      </c>
      <c r="G101" s="72">
        <v>28126</v>
      </c>
      <c r="H101" s="74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5" t="s">
        <v>953</v>
      </c>
    </row>
    <row r="3" spans="1:7" ht="24" thickBot="1" x14ac:dyDescent="0.4">
      <c r="A3" s="152" t="s">
        <v>956</v>
      </c>
      <c r="B3" s="153"/>
      <c r="C3" s="153"/>
      <c r="D3" s="153"/>
      <c r="E3" s="153"/>
      <c r="F3" s="153"/>
      <c r="G3" s="154"/>
    </row>
    <row r="4" spans="1:7" ht="19.5" thickTop="1" x14ac:dyDescent="0.3">
      <c r="A4" s="75"/>
      <c r="B4" s="76"/>
      <c r="C4" s="76"/>
      <c r="D4" s="76"/>
      <c r="E4" s="76"/>
      <c r="F4" s="76"/>
      <c r="G4" s="77"/>
    </row>
    <row r="5" spans="1:7" ht="19.5" thickBot="1" x14ac:dyDescent="0.35">
      <c r="A5" s="78" t="s">
        <v>957</v>
      </c>
      <c r="B5" s="79"/>
      <c r="C5" s="80"/>
      <c r="D5" s="76"/>
      <c r="E5" s="76"/>
      <c r="F5" s="76"/>
      <c r="G5" s="77"/>
    </row>
    <row r="6" spans="1:7" ht="19.5" thickTop="1" x14ac:dyDescent="0.3">
      <c r="A6" s="78"/>
      <c r="B6" s="81"/>
      <c r="C6" s="76"/>
      <c r="D6" s="76"/>
      <c r="E6" s="76"/>
      <c r="F6" s="76"/>
      <c r="G6" s="77"/>
    </row>
    <row r="7" spans="1:7" ht="19.5" thickBot="1" x14ac:dyDescent="0.35">
      <c r="A7" s="78" t="s">
        <v>594</v>
      </c>
      <c r="B7" s="82"/>
      <c r="C7" s="80"/>
      <c r="D7" s="76"/>
      <c r="E7" s="76"/>
      <c r="F7" s="76"/>
      <c r="G7" s="77"/>
    </row>
    <row r="8" spans="1:7" ht="19.5" thickTop="1" x14ac:dyDescent="0.3">
      <c r="A8" s="78"/>
      <c r="B8" s="81"/>
      <c r="C8" s="76"/>
      <c r="D8" s="76"/>
      <c r="E8" s="76"/>
      <c r="F8" s="76"/>
      <c r="G8" s="77"/>
    </row>
    <row r="9" spans="1:7" ht="19.5" thickBot="1" x14ac:dyDescent="0.35">
      <c r="A9" s="78" t="s">
        <v>84</v>
      </c>
      <c r="B9" s="82"/>
      <c r="C9" s="80"/>
      <c r="D9" s="76"/>
      <c r="E9" s="76"/>
      <c r="F9" s="76"/>
      <c r="G9" s="77"/>
    </row>
    <row r="10" spans="1:7" ht="19.5" thickTop="1" x14ac:dyDescent="0.3">
      <c r="A10" s="78"/>
      <c r="B10" s="81"/>
      <c r="C10" s="76"/>
      <c r="D10" s="76"/>
      <c r="E10" s="76"/>
      <c r="F10" s="76"/>
      <c r="G10" s="77"/>
    </row>
    <row r="11" spans="1:7" ht="19.5" thickBot="1" x14ac:dyDescent="0.35">
      <c r="A11" s="78" t="s">
        <v>662</v>
      </c>
      <c r="B11" s="82"/>
      <c r="C11" s="80"/>
      <c r="D11" s="76"/>
      <c r="E11" s="76"/>
      <c r="F11" s="76"/>
      <c r="G11" s="77"/>
    </row>
    <row r="12" spans="1:7" ht="19.5" thickTop="1" x14ac:dyDescent="0.3">
      <c r="A12" s="78"/>
      <c r="B12" s="81"/>
      <c r="C12" s="76"/>
      <c r="D12" s="76"/>
      <c r="E12" s="76"/>
      <c r="F12" s="76"/>
      <c r="G12" s="77"/>
    </row>
    <row r="13" spans="1:7" ht="19.5" thickBot="1" x14ac:dyDescent="0.35">
      <c r="A13" s="78" t="s">
        <v>252</v>
      </c>
      <c r="B13" s="83"/>
      <c r="C13" s="80"/>
      <c r="D13" s="76"/>
      <c r="E13" s="76"/>
      <c r="F13" s="76"/>
      <c r="G13" s="77"/>
    </row>
    <row r="14" spans="1:7" ht="19.5" thickTop="1" x14ac:dyDescent="0.3">
      <c r="A14" s="75"/>
      <c r="B14" s="76"/>
      <c r="C14" s="76"/>
      <c r="D14" s="76"/>
      <c r="E14" s="76"/>
      <c r="F14" s="76"/>
      <c r="G14" s="77"/>
    </row>
    <row r="15" spans="1:7" ht="19.5" thickBot="1" x14ac:dyDescent="0.35">
      <c r="A15" s="84"/>
      <c r="B15" s="85"/>
      <c r="C15" s="85"/>
      <c r="D15" s="85"/>
      <c r="E15" s="85"/>
      <c r="F15" s="85"/>
      <c r="G15" s="86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88" bestFit="1" customWidth="1"/>
    <col min="2" max="16384" width="8.796875" style="88"/>
  </cols>
  <sheetData>
    <row r="5" spans="1:1" x14ac:dyDescent="0.3">
      <c r="A5" s="87" t="s">
        <v>953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7"/>
      <c r="B1" s="87" t="s">
        <v>953</v>
      </c>
    </row>
    <row r="3" spans="1:21" ht="19.5" thickBot="1" x14ac:dyDescent="0.35">
      <c r="A3" s="65" t="s">
        <v>354</v>
      </c>
      <c r="B3" s="65" t="s">
        <v>315</v>
      </c>
      <c r="C3" s="65" t="s">
        <v>317</v>
      </c>
      <c r="D3" s="65" t="s">
        <v>355</v>
      </c>
      <c r="E3" s="65" t="s">
        <v>84</v>
      </c>
      <c r="F3" s="65" t="s">
        <v>356</v>
      </c>
      <c r="G3" s="65" t="s">
        <v>357</v>
      </c>
      <c r="H3" s="65" t="s">
        <v>252</v>
      </c>
      <c r="K3" s="125" t="s">
        <v>746</v>
      </c>
      <c r="L3" s="125" t="s">
        <v>958</v>
      </c>
      <c r="M3" s="125" t="s">
        <v>959</v>
      </c>
      <c r="N3" s="125" t="s">
        <v>960</v>
      </c>
      <c r="O3" s="125" t="s">
        <v>961</v>
      </c>
      <c r="Q3" t="s">
        <v>746</v>
      </c>
      <c r="R3" t="s">
        <v>958</v>
      </c>
      <c r="S3" t="s">
        <v>959</v>
      </c>
      <c r="T3" t="s">
        <v>960</v>
      </c>
      <c r="U3" t="s">
        <v>961</v>
      </c>
    </row>
    <row r="4" spans="1:21" x14ac:dyDescent="0.3">
      <c r="A4" s="66">
        <v>2</v>
      </c>
      <c r="B4" s="67" t="s">
        <v>359</v>
      </c>
      <c r="C4" s="67" t="s">
        <v>360</v>
      </c>
      <c r="D4" s="67" t="s">
        <v>361</v>
      </c>
      <c r="E4" s="67" t="s">
        <v>221</v>
      </c>
      <c r="F4" s="67" t="s">
        <v>362</v>
      </c>
      <c r="G4" s="68">
        <v>28126</v>
      </c>
      <c r="H4" s="69">
        <v>17500</v>
      </c>
      <c r="K4" s="126" t="s">
        <v>962</v>
      </c>
      <c r="L4" s="127">
        <v>99</v>
      </c>
      <c r="M4" s="127">
        <v>75</v>
      </c>
      <c r="N4" s="127">
        <v>69</v>
      </c>
      <c r="O4" s="127">
        <v>75</v>
      </c>
      <c r="Q4" t="s">
        <v>962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6">
        <v>10</v>
      </c>
      <c r="B5" s="67" t="s">
        <v>363</v>
      </c>
      <c r="C5" s="67" t="s">
        <v>364</v>
      </c>
      <c r="D5" s="67" t="s">
        <v>365</v>
      </c>
      <c r="E5" s="67" t="s">
        <v>221</v>
      </c>
      <c r="F5" s="67" t="s">
        <v>366</v>
      </c>
      <c r="G5" s="68">
        <v>28326</v>
      </c>
      <c r="H5" s="69">
        <v>15750</v>
      </c>
      <c r="K5" s="126" t="s">
        <v>319</v>
      </c>
      <c r="L5" s="127">
        <v>66</v>
      </c>
      <c r="M5" s="127">
        <v>96</v>
      </c>
      <c r="N5" s="127">
        <v>52</v>
      </c>
      <c r="O5" s="127">
        <v>88</v>
      </c>
      <c r="Q5" t="s">
        <v>319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6">
        <v>13</v>
      </c>
      <c r="B6" s="67" t="s">
        <v>367</v>
      </c>
      <c r="C6" s="67" t="s">
        <v>368</v>
      </c>
      <c r="D6" s="67" t="s">
        <v>369</v>
      </c>
      <c r="E6" s="67" t="s">
        <v>221</v>
      </c>
      <c r="F6" s="67" t="s">
        <v>370</v>
      </c>
      <c r="G6" s="68">
        <v>31027</v>
      </c>
      <c r="H6" s="69">
        <v>19250</v>
      </c>
      <c r="K6" s="126" t="s">
        <v>963</v>
      </c>
      <c r="L6" s="127">
        <v>41</v>
      </c>
      <c r="M6" s="127">
        <v>75</v>
      </c>
      <c r="N6" s="127">
        <v>41</v>
      </c>
      <c r="O6" s="127">
        <v>52</v>
      </c>
      <c r="Q6" t="s">
        <v>963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6">
        <v>17</v>
      </c>
      <c r="B7" s="67" t="s">
        <v>371</v>
      </c>
      <c r="C7" s="67" t="s">
        <v>372</v>
      </c>
      <c r="D7" s="67" t="s">
        <v>373</v>
      </c>
      <c r="E7" s="67" t="s">
        <v>221</v>
      </c>
      <c r="F7" s="67" t="s">
        <v>362</v>
      </c>
      <c r="G7" s="68">
        <v>30376</v>
      </c>
      <c r="H7" s="69">
        <v>15750</v>
      </c>
      <c r="K7" s="126" t="s">
        <v>964</v>
      </c>
      <c r="L7" s="127">
        <v>23</v>
      </c>
      <c r="M7" s="127">
        <v>52</v>
      </c>
      <c r="N7" s="127">
        <v>11</v>
      </c>
      <c r="O7" s="127">
        <v>42</v>
      </c>
      <c r="Q7" t="s">
        <v>964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6">
        <v>21</v>
      </c>
      <c r="B8" s="67" t="s">
        <v>374</v>
      </c>
      <c r="C8" s="67" t="s">
        <v>375</v>
      </c>
      <c r="D8" s="67" t="s">
        <v>365</v>
      </c>
      <c r="E8" s="67" t="s">
        <v>221</v>
      </c>
      <c r="F8" s="67" t="s">
        <v>376</v>
      </c>
      <c r="G8" s="68">
        <v>36317</v>
      </c>
      <c r="H8" s="69">
        <v>7875</v>
      </c>
    </row>
    <row r="9" spans="1:21" x14ac:dyDescent="0.3">
      <c r="A9" s="66">
        <v>26</v>
      </c>
      <c r="B9" s="67" t="s">
        <v>377</v>
      </c>
      <c r="C9" s="67" t="s">
        <v>378</v>
      </c>
      <c r="D9" s="67" t="s">
        <v>361</v>
      </c>
      <c r="E9" s="67" t="s">
        <v>221</v>
      </c>
      <c r="F9" s="67" t="s">
        <v>362</v>
      </c>
      <c r="G9" s="68">
        <v>30225</v>
      </c>
      <c r="H9" s="69">
        <v>19250</v>
      </c>
    </row>
    <row r="10" spans="1:21" x14ac:dyDescent="0.3">
      <c r="A10" s="66">
        <v>30</v>
      </c>
      <c r="B10" s="67" t="s">
        <v>380</v>
      </c>
      <c r="C10" s="67" t="s">
        <v>381</v>
      </c>
      <c r="D10" s="67" t="s">
        <v>382</v>
      </c>
      <c r="E10" s="67" t="s">
        <v>221</v>
      </c>
      <c r="F10" s="67" t="s">
        <v>376</v>
      </c>
      <c r="G10" s="68">
        <v>32435</v>
      </c>
      <c r="H10" s="69">
        <v>14175</v>
      </c>
    </row>
    <row r="11" spans="1:21" x14ac:dyDescent="0.3">
      <c r="A11" s="66">
        <v>41</v>
      </c>
      <c r="B11" s="67" t="s">
        <v>384</v>
      </c>
      <c r="C11" s="67"/>
      <c r="D11" s="67" t="s">
        <v>373</v>
      </c>
      <c r="E11" s="67" t="s">
        <v>221</v>
      </c>
      <c r="F11" s="67" t="s">
        <v>366</v>
      </c>
      <c r="G11" s="68">
        <v>35595</v>
      </c>
      <c r="H11" s="69">
        <v>7875</v>
      </c>
    </row>
    <row r="12" spans="1:21" x14ac:dyDescent="0.3">
      <c r="A12" s="66">
        <v>42</v>
      </c>
      <c r="B12" s="67" t="s">
        <v>387</v>
      </c>
      <c r="C12" s="67" t="s">
        <v>388</v>
      </c>
      <c r="D12" s="67" t="s">
        <v>389</v>
      </c>
      <c r="E12" s="67" t="s">
        <v>221</v>
      </c>
      <c r="F12" s="67" t="s">
        <v>370</v>
      </c>
      <c r="G12" s="68">
        <v>33510</v>
      </c>
      <c r="H12" s="69">
        <v>13300</v>
      </c>
    </row>
    <row r="13" spans="1:21" x14ac:dyDescent="0.3">
      <c r="A13" s="66">
        <v>44</v>
      </c>
      <c r="B13" s="67" t="s">
        <v>391</v>
      </c>
      <c r="C13" s="67" t="s">
        <v>392</v>
      </c>
      <c r="D13" s="67" t="s">
        <v>382</v>
      </c>
      <c r="E13" s="67" t="s">
        <v>221</v>
      </c>
      <c r="F13" s="67" t="s">
        <v>362</v>
      </c>
      <c r="G13" s="68">
        <v>33194</v>
      </c>
      <c r="H13" s="69">
        <v>13825</v>
      </c>
    </row>
    <row r="14" spans="1:21" x14ac:dyDescent="0.3">
      <c r="A14" s="66">
        <v>54</v>
      </c>
      <c r="B14" s="67" t="s">
        <v>393</v>
      </c>
      <c r="C14" s="67" t="s">
        <v>394</v>
      </c>
      <c r="D14" s="67" t="s">
        <v>395</v>
      </c>
      <c r="E14" s="67" t="s">
        <v>221</v>
      </c>
      <c r="F14" s="67" t="s">
        <v>396</v>
      </c>
      <c r="G14" s="68">
        <v>34761</v>
      </c>
      <c r="H14" s="69">
        <v>15750</v>
      </c>
    </row>
    <row r="15" spans="1:21" x14ac:dyDescent="0.3">
      <c r="A15" s="66">
        <v>55</v>
      </c>
      <c r="B15" s="67"/>
      <c r="C15" s="67" t="s">
        <v>398</v>
      </c>
      <c r="D15" s="67" t="s">
        <v>395</v>
      </c>
      <c r="E15" s="67" t="s">
        <v>221</v>
      </c>
      <c r="F15" s="67" t="s">
        <v>399</v>
      </c>
      <c r="G15" s="68">
        <v>31717</v>
      </c>
      <c r="H15" s="69">
        <v>15750</v>
      </c>
    </row>
    <row r="16" spans="1:21" x14ac:dyDescent="0.3">
      <c r="A16" s="66">
        <v>65</v>
      </c>
      <c r="B16" s="67" t="s">
        <v>400</v>
      </c>
      <c r="C16" s="67" t="s">
        <v>401</v>
      </c>
      <c r="D16" s="67" t="s">
        <v>395</v>
      </c>
      <c r="E16" s="67"/>
      <c r="F16" s="67" t="s">
        <v>370</v>
      </c>
      <c r="G16" s="68">
        <v>32442</v>
      </c>
      <c r="H16" s="69">
        <v>17500</v>
      </c>
    </row>
    <row r="17" spans="1:8" x14ac:dyDescent="0.3">
      <c r="A17" s="66">
        <v>70</v>
      </c>
      <c r="B17" s="67" t="s">
        <v>402</v>
      </c>
      <c r="C17" s="67" t="s">
        <v>403</v>
      </c>
      <c r="D17" s="67" t="s">
        <v>365</v>
      </c>
      <c r="E17" s="67" t="s">
        <v>221</v>
      </c>
      <c r="F17" s="67" t="s">
        <v>370</v>
      </c>
      <c r="G17" s="68">
        <v>34762</v>
      </c>
      <c r="H17" s="69">
        <v>14000</v>
      </c>
    </row>
    <row r="18" spans="1:8" x14ac:dyDescent="0.3">
      <c r="A18" s="66">
        <v>74</v>
      </c>
      <c r="B18" s="67" t="s">
        <v>404</v>
      </c>
      <c r="C18" s="67" t="s">
        <v>405</v>
      </c>
      <c r="D18" s="67" t="s">
        <v>361</v>
      </c>
      <c r="E18" s="67" t="s">
        <v>221</v>
      </c>
      <c r="F18" s="67" t="s">
        <v>366</v>
      </c>
      <c r="G18" s="68">
        <v>32440</v>
      </c>
      <c r="H18" s="69">
        <v>17500</v>
      </c>
    </row>
    <row r="19" spans="1:8" x14ac:dyDescent="0.3">
      <c r="A19" s="66">
        <v>75</v>
      </c>
      <c r="B19" s="67" t="s">
        <v>407</v>
      </c>
      <c r="C19" s="67" t="s">
        <v>408</v>
      </c>
      <c r="D19" s="67" t="s">
        <v>373</v>
      </c>
      <c r="E19" s="67" t="s">
        <v>221</v>
      </c>
      <c r="F19" s="67" t="s">
        <v>370</v>
      </c>
      <c r="G19" s="68">
        <v>32441</v>
      </c>
      <c r="H19" s="69">
        <v>17500</v>
      </c>
    </row>
    <row r="20" spans="1:8" x14ac:dyDescent="0.3">
      <c r="A20" s="66">
        <v>82</v>
      </c>
      <c r="B20" s="67" t="s">
        <v>410</v>
      </c>
      <c r="C20" s="67" t="s">
        <v>411</v>
      </c>
      <c r="D20" s="67" t="s">
        <v>389</v>
      </c>
      <c r="E20" s="67" t="s">
        <v>221</v>
      </c>
      <c r="F20" s="67" t="s">
        <v>362</v>
      </c>
      <c r="G20" s="68">
        <v>32448</v>
      </c>
      <c r="H20" s="69">
        <v>17500</v>
      </c>
    </row>
    <row r="21" spans="1:8" x14ac:dyDescent="0.3">
      <c r="A21" s="66">
        <v>84</v>
      </c>
      <c r="B21" s="67" t="s">
        <v>413</v>
      </c>
      <c r="C21" s="67" t="s">
        <v>414</v>
      </c>
      <c r="D21" s="67" t="s">
        <v>389</v>
      </c>
      <c r="E21" s="67" t="s">
        <v>221</v>
      </c>
      <c r="F21" s="67" t="s">
        <v>370</v>
      </c>
      <c r="G21" s="68">
        <v>36222</v>
      </c>
      <c r="H21" s="69">
        <v>7000</v>
      </c>
    </row>
    <row r="22" spans="1:8" x14ac:dyDescent="0.3">
      <c r="A22" s="66">
        <v>91</v>
      </c>
      <c r="B22" s="67" t="s">
        <v>415</v>
      </c>
      <c r="C22" s="67" t="s">
        <v>416</v>
      </c>
      <c r="D22" s="67" t="s">
        <v>361</v>
      </c>
      <c r="E22" s="67" t="s">
        <v>221</v>
      </c>
      <c r="F22" s="67" t="s">
        <v>370</v>
      </c>
      <c r="G22" s="68">
        <v>29172</v>
      </c>
      <c r="H22" s="69">
        <v>22750</v>
      </c>
    </row>
    <row r="23" spans="1:8" x14ac:dyDescent="0.3">
      <c r="A23" s="66">
        <v>92</v>
      </c>
      <c r="B23" s="67" t="s">
        <v>201</v>
      </c>
      <c r="C23" s="67" t="s">
        <v>417</v>
      </c>
      <c r="D23" s="67" t="s">
        <v>365</v>
      </c>
      <c r="E23" s="67" t="s">
        <v>221</v>
      </c>
      <c r="F23" s="67" t="s">
        <v>396</v>
      </c>
      <c r="G23" s="68">
        <v>32603</v>
      </c>
      <c r="H23" s="69">
        <v>17325</v>
      </c>
    </row>
    <row r="24" spans="1:8" x14ac:dyDescent="0.3">
      <c r="A24" s="66">
        <v>1</v>
      </c>
      <c r="B24" s="67" t="s">
        <v>418</v>
      </c>
      <c r="C24" s="67" t="s">
        <v>419</v>
      </c>
      <c r="D24" s="67" t="s">
        <v>361</v>
      </c>
      <c r="E24" s="67" t="s">
        <v>420</v>
      </c>
      <c r="F24" s="67" t="s">
        <v>421</v>
      </c>
      <c r="G24" s="68">
        <v>28126</v>
      </c>
      <c r="H24" s="69">
        <v>21875</v>
      </c>
    </row>
    <row r="25" spans="1:8" x14ac:dyDescent="0.3">
      <c r="A25" s="66">
        <v>4</v>
      </c>
      <c r="B25" s="67" t="s">
        <v>423</v>
      </c>
      <c r="C25" s="67" t="s">
        <v>424</v>
      </c>
      <c r="D25" s="67" t="s">
        <v>365</v>
      </c>
      <c r="E25" s="67" t="s">
        <v>420</v>
      </c>
      <c r="F25" s="67" t="s">
        <v>383</v>
      </c>
      <c r="G25" s="68">
        <v>29183</v>
      </c>
      <c r="H25" s="69">
        <v>12250</v>
      </c>
    </row>
    <row r="26" spans="1:8" x14ac:dyDescent="0.3">
      <c r="A26" s="66">
        <v>5</v>
      </c>
      <c r="B26" s="67" t="s">
        <v>425</v>
      </c>
      <c r="C26" s="67" t="s">
        <v>426</v>
      </c>
      <c r="D26" s="67" t="s">
        <v>389</v>
      </c>
      <c r="E26" s="67" t="s">
        <v>420</v>
      </c>
      <c r="F26" s="67" t="s">
        <v>427</v>
      </c>
      <c r="G26" s="68">
        <v>32755</v>
      </c>
      <c r="H26" s="69">
        <v>21000</v>
      </c>
    </row>
    <row r="27" spans="1:8" x14ac:dyDescent="0.3">
      <c r="A27" s="66">
        <v>6</v>
      </c>
      <c r="B27" s="67" t="s">
        <v>428</v>
      </c>
      <c r="C27" s="67" t="s">
        <v>429</v>
      </c>
      <c r="D27" s="67" t="s">
        <v>389</v>
      </c>
      <c r="E27" s="67" t="s">
        <v>420</v>
      </c>
      <c r="F27" s="67" t="s">
        <v>430</v>
      </c>
      <c r="G27" s="68">
        <v>32390</v>
      </c>
      <c r="H27" s="69">
        <v>12425</v>
      </c>
    </row>
    <row r="28" spans="1:8" x14ac:dyDescent="0.3">
      <c r="A28" s="66">
        <v>8</v>
      </c>
      <c r="B28" s="67" t="s">
        <v>432</v>
      </c>
      <c r="C28" s="67" t="s">
        <v>433</v>
      </c>
      <c r="D28" s="67" t="s">
        <v>389</v>
      </c>
      <c r="E28" s="67" t="s">
        <v>420</v>
      </c>
      <c r="F28" s="67" t="s">
        <v>434</v>
      </c>
      <c r="G28" s="68">
        <v>32755</v>
      </c>
      <c r="H28" s="69">
        <v>12425</v>
      </c>
    </row>
    <row r="29" spans="1:8" x14ac:dyDescent="0.3">
      <c r="A29" s="66">
        <v>9</v>
      </c>
      <c r="B29" s="67" t="s">
        <v>435</v>
      </c>
      <c r="C29" s="67" t="s">
        <v>436</v>
      </c>
      <c r="D29" s="67" t="s">
        <v>361</v>
      </c>
      <c r="E29" s="67" t="s">
        <v>420</v>
      </c>
      <c r="F29" s="67" t="s">
        <v>437</v>
      </c>
      <c r="G29" s="68">
        <v>36506</v>
      </c>
      <c r="H29" s="69">
        <v>14875</v>
      </c>
    </row>
    <row r="30" spans="1:8" x14ac:dyDescent="0.3">
      <c r="A30" s="66">
        <v>12</v>
      </c>
      <c r="B30" s="67" t="s">
        <v>438</v>
      </c>
      <c r="C30" s="67" t="s">
        <v>439</v>
      </c>
      <c r="D30" s="67" t="s">
        <v>373</v>
      </c>
      <c r="E30" s="67" t="s">
        <v>420</v>
      </c>
      <c r="F30" s="67" t="s">
        <v>440</v>
      </c>
      <c r="G30" s="68">
        <v>30376</v>
      </c>
      <c r="H30" s="69">
        <v>21000</v>
      </c>
    </row>
    <row r="31" spans="1:8" x14ac:dyDescent="0.3">
      <c r="A31" s="66">
        <v>15</v>
      </c>
      <c r="B31" s="67" t="s">
        <v>441</v>
      </c>
      <c r="C31" s="67" t="s">
        <v>442</v>
      </c>
      <c r="D31" s="67" t="s">
        <v>382</v>
      </c>
      <c r="E31" s="67" t="s">
        <v>420</v>
      </c>
      <c r="F31" s="67" t="s">
        <v>440</v>
      </c>
      <c r="G31" s="68">
        <v>31029</v>
      </c>
      <c r="H31" s="69">
        <v>14875</v>
      </c>
    </row>
    <row r="32" spans="1:8" x14ac:dyDescent="0.3">
      <c r="A32" s="66">
        <v>16</v>
      </c>
      <c r="B32" s="67" t="s">
        <v>443</v>
      </c>
      <c r="C32" s="67" t="s">
        <v>444</v>
      </c>
      <c r="D32" s="67" t="s">
        <v>382</v>
      </c>
      <c r="E32" s="67" t="s">
        <v>420</v>
      </c>
      <c r="F32" s="67" t="s">
        <v>445</v>
      </c>
      <c r="G32" s="68">
        <v>31030</v>
      </c>
      <c r="H32" s="69">
        <v>14875</v>
      </c>
    </row>
    <row r="33" spans="1:8" x14ac:dyDescent="0.3">
      <c r="A33" s="66">
        <v>19</v>
      </c>
      <c r="B33" s="67" t="s">
        <v>446</v>
      </c>
      <c r="C33" s="67" t="s">
        <v>447</v>
      </c>
      <c r="D33" s="67" t="s">
        <v>365</v>
      </c>
      <c r="E33" s="67" t="s">
        <v>420</v>
      </c>
      <c r="F33" s="67" t="s">
        <v>430</v>
      </c>
      <c r="G33" s="68">
        <v>31637</v>
      </c>
      <c r="H33" s="69">
        <v>10500</v>
      </c>
    </row>
    <row r="34" spans="1:8" x14ac:dyDescent="0.3">
      <c r="A34" s="66">
        <v>20</v>
      </c>
      <c r="B34" s="67" t="s">
        <v>448</v>
      </c>
      <c r="C34" s="67" t="s">
        <v>449</v>
      </c>
      <c r="D34" s="67" t="s">
        <v>365</v>
      </c>
      <c r="E34" s="67" t="s">
        <v>420</v>
      </c>
      <c r="F34" s="67" t="s">
        <v>445</v>
      </c>
      <c r="G34" s="68">
        <v>36316</v>
      </c>
      <c r="H34" s="69">
        <v>5950</v>
      </c>
    </row>
    <row r="35" spans="1:8" x14ac:dyDescent="0.3">
      <c r="A35" s="66">
        <v>29</v>
      </c>
      <c r="B35" s="67" t="s">
        <v>450</v>
      </c>
      <c r="C35" s="67" t="s">
        <v>451</v>
      </c>
      <c r="D35" s="67" t="s">
        <v>373</v>
      </c>
      <c r="E35" s="67" t="s">
        <v>420</v>
      </c>
      <c r="F35" s="67" t="s">
        <v>445</v>
      </c>
      <c r="G35" s="68">
        <v>35189</v>
      </c>
      <c r="H35" s="69">
        <v>9625</v>
      </c>
    </row>
    <row r="36" spans="1:8" x14ac:dyDescent="0.3">
      <c r="A36" s="66">
        <v>31</v>
      </c>
      <c r="B36" s="67" t="s">
        <v>452</v>
      </c>
      <c r="C36" s="67" t="s">
        <v>453</v>
      </c>
      <c r="D36" s="67" t="s">
        <v>389</v>
      </c>
      <c r="E36" s="67" t="s">
        <v>420</v>
      </c>
      <c r="F36" s="67" t="s">
        <v>434</v>
      </c>
      <c r="G36" s="68">
        <v>30225</v>
      </c>
      <c r="H36" s="69">
        <v>15750</v>
      </c>
    </row>
    <row r="37" spans="1:8" x14ac:dyDescent="0.3">
      <c r="A37" s="66">
        <v>33</v>
      </c>
      <c r="B37" s="67" t="s">
        <v>454</v>
      </c>
      <c r="C37" s="67" t="s">
        <v>455</v>
      </c>
      <c r="D37" s="67" t="s">
        <v>395</v>
      </c>
      <c r="E37" s="67" t="s">
        <v>420</v>
      </c>
      <c r="F37" s="67" t="s">
        <v>437</v>
      </c>
      <c r="G37" s="68">
        <v>35618</v>
      </c>
      <c r="H37" s="69">
        <v>7000</v>
      </c>
    </row>
    <row r="38" spans="1:8" x14ac:dyDescent="0.3">
      <c r="A38" s="66">
        <v>34</v>
      </c>
      <c r="B38" s="67" t="s">
        <v>456</v>
      </c>
      <c r="C38" s="67" t="s">
        <v>457</v>
      </c>
      <c r="D38" s="67" t="s">
        <v>395</v>
      </c>
      <c r="E38" s="67" t="s">
        <v>420</v>
      </c>
      <c r="F38" s="67" t="s">
        <v>458</v>
      </c>
      <c r="G38" s="68">
        <v>33510</v>
      </c>
      <c r="H38" s="69">
        <v>8750</v>
      </c>
    </row>
    <row r="39" spans="1:8" x14ac:dyDescent="0.3">
      <c r="A39" s="66">
        <v>38</v>
      </c>
      <c r="B39" s="67" t="s">
        <v>459</v>
      </c>
      <c r="C39" s="67" t="s">
        <v>460</v>
      </c>
      <c r="D39" s="67" t="s">
        <v>369</v>
      </c>
      <c r="E39" s="67" t="s">
        <v>420</v>
      </c>
      <c r="F39" s="67" t="s">
        <v>461</v>
      </c>
      <c r="G39" s="68">
        <v>30225</v>
      </c>
      <c r="H39" s="69">
        <v>24500</v>
      </c>
    </row>
    <row r="40" spans="1:8" x14ac:dyDescent="0.3">
      <c r="A40" s="66">
        <v>39</v>
      </c>
      <c r="B40" s="67" t="s">
        <v>462</v>
      </c>
      <c r="C40" s="67" t="s">
        <v>463</v>
      </c>
      <c r="D40" s="67" t="s">
        <v>369</v>
      </c>
      <c r="E40" s="67" t="s">
        <v>420</v>
      </c>
      <c r="F40" s="67" t="s">
        <v>383</v>
      </c>
      <c r="G40" s="68">
        <v>30225</v>
      </c>
      <c r="H40" s="69">
        <v>24500</v>
      </c>
    </row>
    <row r="41" spans="1:8" x14ac:dyDescent="0.3">
      <c r="A41" s="66">
        <v>45</v>
      </c>
      <c r="B41" s="67" t="s">
        <v>465</v>
      </c>
      <c r="C41" s="67" t="s">
        <v>466</v>
      </c>
      <c r="D41" s="67" t="s">
        <v>389</v>
      </c>
      <c r="E41" s="67" t="s">
        <v>420</v>
      </c>
      <c r="F41" s="67" t="s">
        <v>421</v>
      </c>
      <c r="G41" s="68">
        <v>35618</v>
      </c>
      <c r="H41" s="69">
        <v>11375</v>
      </c>
    </row>
    <row r="42" spans="1:8" x14ac:dyDescent="0.3">
      <c r="A42" s="66">
        <v>46</v>
      </c>
      <c r="B42" s="67" t="s">
        <v>467</v>
      </c>
      <c r="C42" s="67" t="s">
        <v>468</v>
      </c>
      <c r="D42" s="67" t="s">
        <v>361</v>
      </c>
      <c r="E42" s="67" t="s">
        <v>420</v>
      </c>
      <c r="F42" s="67" t="s">
        <v>458</v>
      </c>
      <c r="G42" s="68">
        <v>33510</v>
      </c>
      <c r="H42" s="69">
        <v>15750</v>
      </c>
    </row>
    <row r="43" spans="1:8" x14ac:dyDescent="0.3">
      <c r="A43" s="66">
        <v>47</v>
      </c>
      <c r="B43" s="67" t="s">
        <v>469</v>
      </c>
      <c r="C43" s="67" t="s">
        <v>470</v>
      </c>
      <c r="D43" s="67" t="s">
        <v>373</v>
      </c>
      <c r="E43" s="67" t="s">
        <v>420</v>
      </c>
      <c r="F43" s="67" t="s">
        <v>427</v>
      </c>
      <c r="G43" s="68">
        <v>32180</v>
      </c>
      <c r="H43" s="69">
        <v>15750</v>
      </c>
    </row>
    <row r="44" spans="1:8" x14ac:dyDescent="0.3">
      <c r="A44" s="66">
        <v>51</v>
      </c>
      <c r="B44" s="67" t="s">
        <v>471</v>
      </c>
      <c r="C44" s="67" t="s">
        <v>472</v>
      </c>
      <c r="D44" s="67" t="s">
        <v>361</v>
      </c>
      <c r="E44" s="67" t="s">
        <v>420</v>
      </c>
      <c r="F44" s="67" t="s">
        <v>440</v>
      </c>
      <c r="G44" s="68">
        <v>32436</v>
      </c>
      <c r="H44" s="69">
        <v>15750</v>
      </c>
    </row>
    <row r="45" spans="1:8" x14ac:dyDescent="0.3">
      <c r="A45" s="66">
        <v>52</v>
      </c>
      <c r="B45" s="67" t="s">
        <v>473</v>
      </c>
      <c r="C45" s="67" t="s">
        <v>474</v>
      </c>
      <c r="D45" s="67" t="s">
        <v>395</v>
      </c>
      <c r="E45" s="67" t="s">
        <v>420</v>
      </c>
      <c r="F45" s="67" t="s">
        <v>458</v>
      </c>
      <c r="G45" s="68">
        <v>32437</v>
      </c>
      <c r="H45" s="69">
        <v>19250</v>
      </c>
    </row>
    <row r="46" spans="1:8" x14ac:dyDescent="0.3">
      <c r="A46" s="66">
        <v>58</v>
      </c>
      <c r="B46" s="67" t="s">
        <v>475</v>
      </c>
      <c r="C46" s="67" t="s">
        <v>476</v>
      </c>
      <c r="D46" s="67" t="s">
        <v>365</v>
      </c>
      <c r="E46" s="67" t="s">
        <v>420</v>
      </c>
      <c r="F46" s="67" t="s">
        <v>434</v>
      </c>
      <c r="G46" s="68">
        <v>33182</v>
      </c>
      <c r="H46" s="69">
        <v>17500</v>
      </c>
    </row>
    <row r="47" spans="1:8" x14ac:dyDescent="0.3">
      <c r="A47" s="66">
        <v>61</v>
      </c>
      <c r="B47" s="67" t="s">
        <v>477</v>
      </c>
      <c r="C47" s="67" t="s">
        <v>478</v>
      </c>
      <c r="D47" s="67" t="s">
        <v>373</v>
      </c>
      <c r="E47" s="67" t="s">
        <v>420</v>
      </c>
      <c r="F47" s="67" t="s">
        <v>434</v>
      </c>
      <c r="G47" s="68">
        <v>32106</v>
      </c>
      <c r="H47" s="69">
        <v>19250</v>
      </c>
    </row>
    <row r="48" spans="1:8" x14ac:dyDescent="0.3">
      <c r="A48" s="66">
        <v>62</v>
      </c>
      <c r="B48" s="67" t="s">
        <v>479</v>
      </c>
      <c r="C48" s="67" t="s">
        <v>372</v>
      </c>
      <c r="D48" s="67" t="s">
        <v>361</v>
      </c>
      <c r="E48" s="67" t="s">
        <v>420</v>
      </c>
      <c r="F48" s="67" t="s">
        <v>427</v>
      </c>
      <c r="G48" s="68">
        <v>32107</v>
      </c>
      <c r="H48" s="69">
        <v>19251</v>
      </c>
    </row>
    <row r="49" spans="1:8" x14ac:dyDescent="0.3">
      <c r="A49" s="66">
        <v>63</v>
      </c>
      <c r="B49" s="67" t="s">
        <v>480</v>
      </c>
      <c r="C49" s="67" t="s">
        <v>481</v>
      </c>
      <c r="D49" s="67" t="s">
        <v>389</v>
      </c>
      <c r="E49" s="67" t="s">
        <v>420</v>
      </c>
      <c r="F49" s="67" t="s">
        <v>440</v>
      </c>
      <c r="G49" s="68">
        <v>32440</v>
      </c>
      <c r="H49" s="69">
        <v>17500</v>
      </c>
    </row>
    <row r="50" spans="1:8" x14ac:dyDescent="0.3">
      <c r="A50" s="66">
        <v>66</v>
      </c>
      <c r="B50" s="67" t="s">
        <v>482</v>
      </c>
      <c r="C50" s="67" t="s">
        <v>483</v>
      </c>
      <c r="D50" s="67" t="s">
        <v>382</v>
      </c>
      <c r="E50" s="67" t="s">
        <v>420</v>
      </c>
      <c r="F50" s="67" t="s">
        <v>434</v>
      </c>
      <c r="G50" s="68">
        <v>32443</v>
      </c>
      <c r="H50" s="69">
        <v>17500</v>
      </c>
    </row>
    <row r="51" spans="1:8" x14ac:dyDescent="0.3">
      <c r="A51" s="66">
        <v>67</v>
      </c>
      <c r="B51" s="67" t="s">
        <v>484</v>
      </c>
      <c r="C51" s="67" t="s">
        <v>403</v>
      </c>
      <c r="D51" s="67" t="s">
        <v>382</v>
      </c>
      <c r="E51" s="67" t="s">
        <v>420</v>
      </c>
      <c r="F51" s="67" t="s">
        <v>458</v>
      </c>
      <c r="G51" s="68">
        <v>32444</v>
      </c>
      <c r="H51" s="69">
        <v>20125</v>
      </c>
    </row>
    <row r="52" spans="1:8" x14ac:dyDescent="0.3">
      <c r="A52" s="66">
        <v>68</v>
      </c>
      <c r="B52" s="67" t="s">
        <v>485</v>
      </c>
      <c r="C52" s="67" t="s">
        <v>401</v>
      </c>
      <c r="D52" s="67" t="s">
        <v>361</v>
      </c>
      <c r="E52" s="67" t="s">
        <v>420</v>
      </c>
      <c r="F52" s="67" t="s">
        <v>383</v>
      </c>
      <c r="G52" s="68">
        <v>35034</v>
      </c>
      <c r="H52" s="69">
        <v>14000</v>
      </c>
    </row>
    <row r="53" spans="1:8" x14ac:dyDescent="0.3">
      <c r="A53" s="66">
        <v>69</v>
      </c>
      <c r="B53" s="67" t="s">
        <v>486</v>
      </c>
      <c r="C53" s="67" t="s">
        <v>470</v>
      </c>
      <c r="D53" s="67" t="s">
        <v>382</v>
      </c>
      <c r="E53" s="67" t="s">
        <v>420</v>
      </c>
      <c r="F53" s="67" t="s">
        <v>383</v>
      </c>
      <c r="G53" s="68">
        <v>34761</v>
      </c>
      <c r="H53" s="69">
        <v>14000</v>
      </c>
    </row>
    <row r="54" spans="1:8" x14ac:dyDescent="0.3">
      <c r="A54" s="66">
        <v>73</v>
      </c>
      <c r="B54" s="67" t="s">
        <v>487</v>
      </c>
      <c r="C54" s="67" t="s">
        <v>488</v>
      </c>
      <c r="D54" s="67" t="s">
        <v>395</v>
      </c>
      <c r="E54" s="67" t="s">
        <v>420</v>
      </c>
      <c r="F54" s="67" t="s">
        <v>445</v>
      </c>
      <c r="G54" s="68">
        <v>32439</v>
      </c>
      <c r="H54" s="69">
        <v>17500</v>
      </c>
    </row>
    <row r="55" spans="1:8" x14ac:dyDescent="0.3">
      <c r="A55" s="66">
        <v>77</v>
      </c>
      <c r="B55" s="67" t="s">
        <v>489</v>
      </c>
      <c r="C55" s="67" t="s">
        <v>483</v>
      </c>
      <c r="D55" s="67" t="s">
        <v>389</v>
      </c>
      <c r="E55" s="67" t="s">
        <v>420</v>
      </c>
      <c r="F55" s="67" t="s">
        <v>383</v>
      </c>
      <c r="G55" s="68">
        <v>32443</v>
      </c>
      <c r="H55" s="69">
        <v>17500</v>
      </c>
    </row>
    <row r="56" spans="1:8" x14ac:dyDescent="0.3">
      <c r="A56" s="66">
        <v>79</v>
      </c>
      <c r="B56" s="67" t="s">
        <v>490</v>
      </c>
      <c r="C56" s="67" t="s">
        <v>491</v>
      </c>
      <c r="D56" s="67" t="s">
        <v>365</v>
      </c>
      <c r="E56" s="67" t="s">
        <v>420</v>
      </c>
      <c r="F56" s="67" t="s">
        <v>383</v>
      </c>
      <c r="G56" s="68">
        <v>32445</v>
      </c>
      <c r="H56" s="69">
        <v>17500</v>
      </c>
    </row>
    <row r="57" spans="1:8" x14ac:dyDescent="0.3">
      <c r="A57" s="66">
        <v>80</v>
      </c>
      <c r="B57" s="67" t="s">
        <v>492</v>
      </c>
      <c r="C57" s="67" t="s">
        <v>493</v>
      </c>
      <c r="D57" s="67" t="s">
        <v>365</v>
      </c>
      <c r="E57" s="67" t="s">
        <v>420</v>
      </c>
      <c r="F57" s="67" t="s">
        <v>421</v>
      </c>
      <c r="G57" s="68">
        <v>32446</v>
      </c>
      <c r="H57" s="69">
        <v>17500</v>
      </c>
    </row>
    <row r="58" spans="1:8" x14ac:dyDescent="0.3">
      <c r="A58" s="66">
        <v>83</v>
      </c>
      <c r="B58" s="67" t="s">
        <v>494</v>
      </c>
      <c r="C58" s="67" t="s">
        <v>483</v>
      </c>
      <c r="D58" s="67" t="s">
        <v>395</v>
      </c>
      <c r="E58" s="67" t="s">
        <v>420</v>
      </c>
      <c r="F58" s="67" t="s">
        <v>461</v>
      </c>
      <c r="G58" s="68">
        <v>36221</v>
      </c>
      <c r="H58" s="69">
        <v>7000</v>
      </c>
    </row>
    <row r="59" spans="1:8" x14ac:dyDescent="0.3">
      <c r="A59" s="66">
        <v>85</v>
      </c>
      <c r="B59" s="67" t="s">
        <v>495</v>
      </c>
      <c r="C59" s="67" t="s">
        <v>496</v>
      </c>
      <c r="D59" s="67" t="s">
        <v>389</v>
      </c>
      <c r="E59" s="67" t="s">
        <v>420</v>
      </c>
      <c r="F59" s="67" t="s">
        <v>434</v>
      </c>
      <c r="G59" s="68">
        <v>35809</v>
      </c>
      <c r="H59" s="69">
        <v>7000</v>
      </c>
    </row>
    <row r="60" spans="1:8" x14ac:dyDescent="0.3">
      <c r="A60" s="66">
        <v>86</v>
      </c>
      <c r="B60" s="67" t="s">
        <v>497</v>
      </c>
      <c r="C60" s="67" t="s">
        <v>375</v>
      </c>
      <c r="D60" s="67" t="s">
        <v>395</v>
      </c>
      <c r="E60" s="67" t="s">
        <v>420</v>
      </c>
      <c r="F60" s="67" t="s">
        <v>440</v>
      </c>
      <c r="G60" s="68">
        <v>35810</v>
      </c>
      <c r="H60" s="69">
        <v>17500</v>
      </c>
    </row>
    <row r="61" spans="1:8" x14ac:dyDescent="0.3">
      <c r="A61" s="66">
        <v>89</v>
      </c>
      <c r="B61" s="67" t="s">
        <v>498</v>
      </c>
      <c r="C61" s="67" t="s">
        <v>499</v>
      </c>
      <c r="D61" s="67" t="s">
        <v>361</v>
      </c>
      <c r="E61" s="67" t="s">
        <v>420</v>
      </c>
      <c r="F61" s="67" t="s">
        <v>461</v>
      </c>
      <c r="G61" s="68">
        <v>28907</v>
      </c>
      <c r="H61" s="69">
        <v>22750</v>
      </c>
    </row>
    <row r="62" spans="1:8" x14ac:dyDescent="0.3">
      <c r="A62" s="66">
        <v>90</v>
      </c>
      <c r="B62" s="67" t="s">
        <v>500</v>
      </c>
      <c r="C62" s="67" t="s">
        <v>466</v>
      </c>
      <c r="D62" s="67" t="s">
        <v>389</v>
      </c>
      <c r="E62" s="67" t="s">
        <v>420</v>
      </c>
      <c r="F62" s="67" t="s">
        <v>445</v>
      </c>
      <c r="G62" s="68">
        <v>29226</v>
      </c>
      <c r="H62" s="69">
        <v>22750</v>
      </c>
    </row>
    <row r="63" spans="1:8" x14ac:dyDescent="0.3">
      <c r="A63" s="66">
        <v>98</v>
      </c>
      <c r="B63" s="67" t="s">
        <v>501</v>
      </c>
      <c r="C63" s="67" t="s">
        <v>502</v>
      </c>
      <c r="D63" s="67" t="s">
        <v>395</v>
      </c>
      <c r="E63" s="67" t="s">
        <v>420</v>
      </c>
      <c r="F63" s="67" t="s">
        <v>383</v>
      </c>
      <c r="G63" s="68">
        <v>32609</v>
      </c>
      <c r="H63" s="69">
        <v>17325</v>
      </c>
    </row>
    <row r="64" spans="1:8" x14ac:dyDescent="0.3">
      <c r="A64" s="66">
        <v>3</v>
      </c>
      <c r="B64" s="67" t="s">
        <v>503</v>
      </c>
      <c r="C64" s="67" t="s">
        <v>323</v>
      </c>
      <c r="D64" s="67" t="s">
        <v>373</v>
      </c>
      <c r="E64" s="67" t="s">
        <v>504</v>
      </c>
      <c r="F64" s="67" t="s">
        <v>505</v>
      </c>
      <c r="G64" s="68">
        <v>36220</v>
      </c>
      <c r="H64" s="69">
        <v>7000</v>
      </c>
    </row>
    <row r="65" spans="1:8" x14ac:dyDescent="0.3">
      <c r="A65" s="66">
        <v>14</v>
      </c>
      <c r="B65" s="67" t="s">
        <v>462</v>
      </c>
      <c r="C65" s="67" t="s">
        <v>401</v>
      </c>
      <c r="D65" s="67" t="s">
        <v>506</v>
      </c>
      <c r="E65" s="67" t="s">
        <v>504</v>
      </c>
      <c r="F65" s="67" t="s">
        <v>507</v>
      </c>
      <c r="G65" s="68">
        <v>31028</v>
      </c>
      <c r="H65" s="69">
        <v>49000</v>
      </c>
    </row>
    <row r="66" spans="1:8" x14ac:dyDescent="0.3">
      <c r="A66" s="66">
        <v>25</v>
      </c>
      <c r="B66" s="67" t="s">
        <v>508</v>
      </c>
      <c r="C66" s="67" t="s">
        <v>509</v>
      </c>
      <c r="D66" s="67" t="s">
        <v>389</v>
      </c>
      <c r="E66" s="67" t="s">
        <v>504</v>
      </c>
      <c r="F66" s="67" t="s">
        <v>510</v>
      </c>
      <c r="G66" s="68">
        <v>36274</v>
      </c>
      <c r="H66" s="69">
        <v>7875</v>
      </c>
    </row>
    <row r="67" spans="1:8" x14ac:dyDescent="0.3">
      <c r="A67" s="66">
        <v>27</v>
      </c>
      <c r="B67" s="67" t="s">
        <v>511</v>
      </c>
      <c r="C67" s="67" t="s">
        <v>512</v>
      </c>
      <c r="D67" s="67" t="s">
        <v>361</v>
      </c>
      <c r="E67" s="67" t="s">
        <v>504</v>
      </c>
      <c r="F67" s="67" t="s">
        <v>513</v>
      </c>
      <c r="G67" s="68">
        <v>33787</v>
      </c>
      <c r="H67" s="69">
        <v>13125</v>
      </c>
    </row>
    <row r="68" spans="1:8" x14ac:dyDescent="0.3">
      <c r="A68" s="66">
        <v>32</v>
      </c>
      <c r="B68" s="67" t="s">
        <v>514</v>
      </c>
      <c r="C68" s="67" t="s">
        <v>470</v>
      </c>
      <c r="D68" s="67" t="s">
        <v>395</v>
      </c>
      <c r="E68" s="67" t="s">
        <v>504</v>
      </c>
      <c r="F68" s="67" t="s">
        <v>510</v>
      </c>
      <c r="G68" s="68">
        <v>30225</v>
      </c>
      <c r="H68" s="69">
        <v>15750</v>
      </c>
    </row>
    <row r="69" spans="1:8" x14ac:dyDescent="0.3">
      <c r="A69" s="66">
        <v>35</v>
      </c>
      <c r="B69" s="67" t="s">
        <v>515</v>
      </c>
      <c r="C69" s="67" t="s">
        <v>470</v>
      </c>
      <c r="D69" s="67" t="s">
        <v>365</v>
      </c>
      <c r="E69" s="67" t="s">
        <v>504</v>
      </c>
      <c r="F69" s="67" t="s">
        <v>510</v>
      </c>
      <c r="G69" s="68">
        <v>33729</v>
      </c>
      <c r="H69" s="69">
        <v>9275</v>
      </c>
    </row>
    <row r="70" spans="1:8" x14ac:dyDescent="0.3">
      <c r="A70" s="66">
        <v>37</v>
      </c>
      <c r="B70" s="67" t="s">
        <v>438</v>
      </c>
      <c r="C70" s="67" t="s">
        <v>516</v>
      </c>
      <c r="D70" s="67" t="s">
        <v>369</v>
      </c>
      <c r="E70" s="67" t="s">
        <v>504</v>
      </c>
      <c r="F70" s="67" t="s">
        <v>517</v>
      </c>
      <c r="G70" s="68">
        <v>30225</v>
      </c>
      <c r="H70" s="69">
        <v>24500</v>
      </c>
    </row>
    <row r="71" spans="1:8" x14ac:dyDescent="0.3">
      <c r="A71" s="66">
        <v>40</v>
      </c>
      <c r="B71" s="67" t="s">
        <v>518</v>
      </c>
      <c r="C71" s="67" t="s">
        <v>519</v>
      </c>
      <c r="D71" s="67" t="s">
        <v>361</v>
      </c>
      <c r="E71" s="67" t="s">
        <v>504</v>
      </c>
      <c r="F71" s="67" t="s">
        <v>510</v>
      </c>
      <c r="G71" s="68">
        <v>33510</v>
      </c>
      <c r="H71" s="69">
        <v>10500</v>
      </c>
    </row>
    <row r="72" spans="1:8" x14ac:dyDescent="0.3">
      <c r="A72" s="66">
        <v>49</v>
      </c>
      <c r="B72" s="67" t="s">
        <v>520</v>
      </c>
      <c r="C72" s="67" t="s">
        <v>521</v>
      </c>
      <c r="D72" s="67" t="s">
        <v>395</v>
      </c>
      <c r="E72" s="67" t="s">
        <v>504</v>
      </c>
      <c r="F72" s="67" t="s">
        <v>507</v>
      </c>
      <c r="G72" s="68">
        <v>32435</v>
      </c>
      <c r="H72" s="69">
        <v>15750</v>
      </c>
    </row>
    <row r="73" spans="1:8" x14ac:dyDescent="0.3">
      <c r="A73" s="66">
        <v>57</v>
      </c>
      <c r="B73" s="67" t="s">
        <v>522</v>
      </c>
      <c r="C73" s="67" t="s">
        <v>523</v>
      </c>
      <c r="D73" s="67" t="s">
        <v>361</v>
      </c>
      <c r="E73" s="67" t="s">
        <v>504</v>
      </c>
      <c r="F73" s="67" t="s">
        <v>524</v>
      </c>
      <c r="G73" s="68">
        <v>34098</v>
      </c>
      <c r="H73" s="69">
        <v>14875</v>
      </c>
    </row>
    <row r="74" spans="1:8" x14ac:dyDescent="0.3">
      <c r="A74" s="66">
        <v>59</v>
      </c>
      <c r="B74" s="67" t="s">
        <v>525</v>
      </c>
      <c r="C74" s="67" t="s">
        <v>526</v>
      </c>
      <c r="D74" s="67" t="s">
        <v>373</v>
      </c>
      <c r="E74" s="67" t="s">
        <v>504</v>
      </c>
      <c r="F74" s="67" t="s">
        <v>513</v>
      </c>
      <c r="G74" s="68">
        <v>31791</v>
      </c>
      <c r="H74" s="69">
        <v>19250</v>
      </c>
    </row>
    <row r="75" spans="1:8" x14ac:dyDescent="0.3">
      <c r="A75" s="66">
        <v>60</v>
      </c>
      <c r="B75" s="67" t="s">
        <v>527</v>
      </c>
      <c r="C75" s="67" t="s">
        <v>528</v>
      </c>
      <c r="D75" s="67" t="s">
        <v>365</v>
      </c>
      <c r="E75" s="67" t="s">
        <v>504</v>
      </c>
      <c r="F75" s="67" t="s">
        <v>529</v>
      </c>
      <c r="G75" s="68">
        <v>32105</v>
      </c>
      <c r="H75" s="69">
        <v>19250</v>
      </c>
    </row>
    <row r="76" spans="1:8" x14ac:dyDescent="0.3">
      <c r="A76" s="66">
        <v>64</v>
      </c>
      <c r="B76" s="67" t="s">
        <v>530</v>
      </c>
      <c r="C76" s="67" t="s">
        <v>531</v>
      </c>
      <c r="D76" s="67" t="s">
        <v>382</v>
      </c>
      <c r="E76" s="67" t="s">
        <v>504</v>
      </c>
      <c r="F76" s="67" t="s">
        <v>505</v>
      </c>
      <c r="G76" s="68">
        <v>32441</v>
      </c>
      <c r="H76" s="69">
        <v>17500</v>
      </c>
    </row>
    <row r="77" spans="1:8" x14ac:dyDescent="0.3">
      <c r="A77" s="66">
        <v>72</v>
      </c>
      <c r="B77" s="67" t="s">
        <v>532</v>
      </c>
      <c r="C77" s="67" t="s">
        <v>453</v>
      </c>
      <c r="D77" s="67" t="s">
        <v>389</v>
      </c>
      <c r="E77" s="67" t="s">
        <v>504</v>
      </c>
      <c r="F77" s="67" t="s">
        <v>517</v>
      </c>
      <c r="G77" s="68">
        <v>32438</v>
      </c>
      <c r="H77" s="69">
        <v>17500</v>
      </c>
    </row>
    <row r="78" spans="1:8" x14ac:dyDescent="0.3">
      <c r="A78" s="66">
        <v>81</v>
      </c>
      <c r="B78" s="67" t="s">
        <v>533</v>
      </c>
      <c r="C78" s="67" t="s">
        <v>534</v>
      </c>
      <c r="D78" s="67" t="s">
        <v>395</v>
      </c>
      <c r="E78" s="67" t="s">
        <v>504</v>
      </c>
      <c r="F78" s="67" t="s">
        <v>524</v>
      </c>
      <c r="G78" s="68">
        <v>32447</v>
      </c>
      <c r="H78" s="69">
        <v>17500</v>
      </c>
    </row>
    <row r="79" spans="1:8" x14ac:dyDescent="0.3">
      <c r="A79" s="66">
        <v>87</v>
      </c>
      <c r="B79" s="67" t="s">
        <v>535</v>
      </c>
      <c r="C79" s="67" t="s">
        <v>536</v>
      </c>
      <c r="D79" s="67" t="s">
        <v>365</v>
      </c>
      <c r="E79" s="67" t="s">
        <v>504</v>
      </c>
      <c r="F79" s="67" t="s">
        <v>505</v>
      </c>
      <c r="G79" s="68">
        <v>35811</v>
      </c>
      <c r="H79" s="69">
        <v>17500</v>
      </c>
    </row>
    <row r="80" spans="1:8" x14ac:dyDescent="0.3">
      <c r="A80" s="66">
        <v>93</v>
      </c>
      <c r="B80" s="67" t="s">
        <v>537</v>
      </c>
      <c r="C80" s="67" t="s">
        <v>372</v>
      </c>
      <c r="D80" s="67" t="s">
        <v>361</v>
      </c>
      <c r="E80" s="67" t="s">
        <v>504</v>
      </c>
      <c r="F80" s="67" t="s">
        <v>513</v>
      </c>
      <c r="G80" s="68">
        <v>32604</v>
      </c>
      <c r="H80" s="69">
        <v>17325</v>
      </c>
    </row>
    <row r="81" spans="1:8" x14ac:dyDescent="0.3">
      <c r="A81" s="66">
        <v>95</v>
      </c>
      <c r="B81" s="67" t="s">
        <v>538</v>
      </c>
      <c r="C81" s="67" t="s">
        <v>457</v>
      </c>
      <c r="D81" s="67" t="s">
        <v>365</v>
      </c>
      <c r="E81" s="67" t="s">
        <v>504</v>
      </c>
      <c r="F81" s="67" t="s">
        <v>513</v>
      </c>
      <c r="G81" s="68">
        <v>32606</v>
      </c>
      <c r="H81" s="69">
        <v>17325</v>
      </c>
    </row>
    <row r="82" spans="1:8" x14ac:dyDescent="0.3">
      <c r="A82" s="66">
        <v>97</v>
      </c>
      <c r="B82" s="67" t="s">
        <v>539</v>
      </c>
      <c r="C82" s="67" t="s">
        <v>540</v>
      </c>
      <c r="D82" s="67" t="s">
        <v>389</v>
      </c>
      <c r="E82" s="67" t="s">
        <v>504</v>
      </c>
      <c r="F82" s="67" t="s">
        <v>529</v>
      </c>
      <c r="G82" s="68">
        <v>32608</v>
      </c>
      <c r="H82" s="69">
        <v>17325</v>
      </c>
    </row>
    <row r="83" spans="1:8" x14ac:dyDescent="0.3">
      <c r="A83" s="66">
        <v>100</v>
      </c>
      <c r="B83" s="67" t="s">
        <v>541</v>
      </c>
      <c r="C83" s="67" t="s">
        <v>542</v>
      </c>
      <c r="D83" s="67" t="s">
        <v>369</v>
      </c>
      <c r="E83" s="67" t="s">
        <v>504</v>
      </c>
      <c r="F83" s="67" t="s">
        <v>505</v>
      </c>
      <c r="G83" s="68">
        <v>36193</v>
      </c>
      <c r="H83" s="69">
        <v>7875</v>
      </c>
    </row>
    <row r="84" spans="1:8" x14ac:dyDescent="0.3">
      <c r="A84" s="66">
        <v>7</v>
      </c>
      <c r="B84" s="67" t="s">
        <v>543</v>
      </c>
      <c r="C84" s="67" t="s">
        <v>544</v>
      </c>
      <c r="D84" s="67" t="s">
        <v>382</v>
      </c>
      <c r="E84" s="67" t="s">
        <v>545</v>
      </c>
      <c r="F84" s="67" t="s">
        <v>546</v>
      </c>
      <c r="G84" s="68">
        <v>33102</v>
      </c>
      <c r="H84" s="69">
        <v>12425</v>
      </c>
    </row>
    <row r="85" spans="1:8" x14ac:dyDescent="0.3">
      <c r="A85" s="66">
        <v>11</v>
      </c>
      <c r="B85" s="67" t="s">
        <v>547</v>
      </c>
      <c r="C85" s="67" t="s">
        <v>548</v>
      </c>
      <c r="D85" s="67" t="s">
        <v>369</v>
      </c>
      <c r="E85" s="67" t="s">
        <v>545</v>
      </c>
      <c r="F85" s="67" t="s">
        <v>546</v>
      </c>
      <c r="G85" s="68">
        <v>31402</v>
      </c>
      <c r="H85" s="69">
        <v>14875</v>
      </c>
    </row>
    <row r="86" spans="1:8" x14ac:dyDescent="0.3">
      <c r="A86" s="66">
        <v>18</v>
      </c>
      <c r="B86" s="67" t="s">
        <v>549</v>
      </c>
      <c r="C86" s="67" t="s">
        <v>550</v>
      </c>
      <c r="D86" s="67" t="s">
        <v>373</v>
      </c>
      <c r="E86" s="67" t="s">
        <v>545</v>
      </c>
      <c r="F86" s="67" t="s">
        <v>551</v>
      </c>
      <c r="G86" s="68">
        <v>30376</v>
      </c>
      <c r="H86" s="69">
        <v>15750</v>
      </c>
    </row>
    <row r="87" spans="1:8" x14ac:dyDescent="0.3">
      <c r="A87" s="66">
        <v>22</v>
      </c>
      <c r="B87" s="67" t="s">
        <v>552</v>
      </c>
      <c r="C87" s="67" t="s">
        <v>476</v>
      </c>
      <c r="D87" s="67" t="s">
        <v>365</v>
      </c>
      <c r="E87" s="67" t="s">
        <v>545</v>
      </c>
      <c r="F87" s="67" t="s">
        <v>551</v>
      </c>
      <c r="G87" s="68">
        <v>36318</v>
      </c>
      <c r="H87" s="69">
        <v>7875</v>
      </c>
    </row>
    <row r="88" spans="1:8" x14ac:dyDescent="0.3">
      <c r="A88" s="66">
        <v>23</v>
      </c>
      <c r="B88" s="67" t="s">
        <v>553</v>
      </c>
      <c r="C88" s="67" t="s">
        <v>481</v>
      </c>
      <c r="D88" s="67" t="s">
        <v>365</v>
      </c>
      <c r="E88" s="67" t="s">
        <v>545</v>
      </c>
      <c r="F88" s="67" t="s">
        <v>546</v>
      </c>
      <c r="G88" s="68">
        <v>36319</v>
      </c>
      <c r="H88" s="69">
        <v>7875</v>
      </c>
    </row>
    <row r="89" spans="1:8" x14ac:dyDescent="0.3">
      <c r="A89" s="66">
        <v>24</v>
      </c>
      <c r="B89" s="67" t="s">
        <v>387</v>
      </c>
      <c r="C89" s="67" t="s">
        <v>554</v>
      </c>
      <c r="D89" s="67" t="s">
        <v>361</v>
      </c>
      <c r="E89" s="67" t="s">
        <v>545</v>
      </c>
      <c r="F89" s="67" t="s">
        <v>551</v>
      </c>
      <c r="G89" s="68">
        <v>29362</v>
      </c>
      <c r="H89" s="69">
        <v>14875</v>
      </c>
    </row>
    <row r="90" spans="1:8" x14ac:dyDescent="0.3">
      <c r="A90" s="66">
        <v>28</v>
      </c>
      <c r="B90" s="67" t="s">
        <v>555</v>
      </c>
      <c r="C90" s="67" t="s">
        <v>556</v>
      </c>
      <c r="D90" s="67" t="s">
        <v>389</v>
      </c>
      <c r="E90" s="67" t="s">
        <v>545</v>
      </c>
      <c r="F90" s="67" t="s">
        <v>557</v>
      </c>
      <c r="G90" s="68">
        <v>34777</v>
      </c>
      <c r="H90" s="69">
        <v>10500</v>
      </c>
    </row>
    <row r="91" spans="1:8" x14ac:dyDescent="0.3">
      <c r="A91" s="66">
        <v>36</v>
      </c>
      <c r="B91" s="67" t="s">
        <v>387</v>
      </c>
      <c r="C91" s="67" t="s">
        <v>558</v>
      </c>
      <c r="D91" s="67" t="s">
        <v>382</v>
      </c>
      <c r="E91" s="67" t="s">
        <v>545</v>
      </c>
      <c r="F91" s="67" t="s">
        <v>559</v>
      </c>
      <c r="G91" s="68">
        <v>34580</v>
      </c>
      <c r="H91" s="69">
        <v>11725</v>
      </c>
    </row>
    <row r="92" spans="1:8" x14ac:dyDescent="0.3">
      <c r="A92" s="66">
        <v>43</v>
      </c>
      <c r="B92" s="67" t="s">
        <v>560</v>
      </c>
      <c r="C92" s="67" t="s">
        <v>523</v>
      </c>
      <c r="D92" s="67" t="s">
        <v>382</v>
      </c>
      <c r="E92" s="67" t="s">
        <v>545</v>
      </c>
      <c r="F92" s="67" t="s">
        <v>557</v>
      </c>
      <c r="G92" s="68">
        <v>32435</v>
      </c>
      <c r="H92" s="69">
        <v>15750</v>
      </c>
    </row>
    <row r="93" spans="1:8" x14ac:dyDescent="0.3">
      <c r="A93" s="66">
        <v>48</v>
      </c>
      <c r="B93" s="67" t="s">
        <v>561</v>
      </c>
      <c r="C93" s="67" t="s">
        <v>470</v>
      </c>
      <c r="D93" s="67" t="s">
        <v>395</v>
      </c>
      <c r="E93" s="67" t="s">
        <v>545</v>
      </c>
      <c r="F93" s="67" t="s">
        <v>562</v>
      </c>
      <c r="G93" s="68">
        <v>32435</v>
      </c>
      <c r="H93" s="69">
        <v>15750</v>
      </c>
    </row>
    <row r="94" spans="1:8" x14ac:dyDescent="0.3">
      <c r="A94" s="66">
        <v>50</v>
      </c>
      <c r="B94" s="67" t="s">
        <v>563</v>
      </c>
      <c r="C94" s="67" t="s">
        <v>468</v>
      </c>
      <c r="D94" s="67" t="s">
        <v>382</v>
      </c>
      <c r="E94" s="67" t="s">
        <v>545</v>
      </c>
      <c r="F94" s="67" t="s">
        <v>562</v>
      </c>
      <c r="G94" s="68">
        <v>32435</v>
      </c>
      <c r="H94" s="69">
        <v>15750</v>
      </c>
    </row>
    <row r="95" spans="1:8" x14ac:dyDescent="0.3">
      <c r="A95" s="66">
        <v>53</v>
      </c>
      <c r="B95" s="67" t="s">
        <v>564</v>
      </c>
      <c r="C95" s="67" t="s">
        <v>565</v>
      </c>
      <c r="D95" s="67" t="s">
        <v>395</v>
      </c>
      <c r="E95" s="67" t="s">
        <v>545</v>
      </c>
      <c r="F95" s="67" t="s">
        <v>566</v>
      </c>
      <c r="G95" s="68">
        <v>35034</v>
      </c>
      <c r="H95" s="69">
        <v>15750</v>
      </c>
    </row>
    <row r="96" spans="1:8" x14ac:dyDescent="0.3">
      <c r="A96" s="66">
        <v>56</v>
      </c>
      <c r="B96" s="67" t="s">
        <v>567</v>
      </c>
      <c r="C96" s="67" t="s">
        <v>568</v>
      </c>
      <c r="D96" s="67" t="s">
        <v>361</v>
      </c>
      <c r="E96" s="67" t="s">
        <v>545</v>
      </c>
      <c r="F96" s="67" t="s">
        <v>566</v>
      </c>
      <c r="G96" s="68">
        <v>33878</v>
      </c>
      <c r="H96" s="69">
        <v>14875</v>
      </c>
    </row>
    <row r="97" spans="1:8" x14ac:dyDescent="0.3">
      <c r="A97" s="66">
        <v>71</v>
      </c>
      <c r="B97" s="67" t="s">
        <v>569</v>
      </c>
      <c r="C97" s="67" t="s">
        <v>570</v>
      </c>
      <c r="D97" s="67" t="s">
        <v>389</v>
      </c>
      <c r="E97" s="67" t="s">
        <v>545</v>
      </c>
      <c r="F97" s="67" t="s">
        <v>571</v>
      </c>
      <c r="G97" s="68">
        <v>34763</v>
      </c>
      <c r="H97" s="69">
        <v>14000</v>
      </c>
    </row>
    <row r="98" spans="1:8" x14ac:dyDescent="0.3">
      <c r="A98" s="66">
        <v>76</v>
      </c>
      <c r="B98" s="67" t="s">
        <v>572</v>
      </c>
      <c r="C98" s="67" t="s">
        <v>392</v>
      </c>
      <c r="D98" s="67" t="s">
        <v>395</v>
      </c>
      <c r="E98" s="67" t="s">
        <v>545</v>
      </c>
      <c r="F98" s="67" t="s">
        <v>571</v>
      </c>
      <c r="G98" s="68">
        <v>32442</v>
      </c>
      <c r="H98" s="69">
        <v>17500</v>
      </c>
    </row>
    <row r="99" spans="1:8" x14ac:dyDescent="0.3">
      <c r="A99" s="66">
        <v>78</v>
      </c>
      <c r="B99" s="67" t="s">
        <v>573</v>
      </c>
      <c r="C99" s="67" t="s">
        <v>574</v>
      </c>
      <c r="D99" s="67" t="s">
        <v>361</v>
      </c>
      <c r="E99" s="67" t="s">
        <v>545</v>
      </c>
      <c r="F99" s="67" t="s">
        <v>557</v>
      </c>
      <c r="G99" s="68">
        <v>32444</v>
      </c>
      <c r="H99" s="69">
        <v>17500</v>
      </c>
    </row>
    <row r="100" spans="1:8" x14ac:dyDescent="0.3">
      <c r="A100" s="66">
        <v>88</v>
      </c>
      <c r="B100" s="67" t="s">
        <v>575</v>
      </c>
      <c r="C100" s="67" t="s">
        <v>576</v>
      </c>
      <c r="D100" s="67" t="s">
        <v>365</v>
      </c>
      <c r="E100" s="67" t="s">
        <v>545</v>
      </c>
      <c r="F100" s="67" t="s">
        <v>546</v>
      </c>
      <c r="G100" s="68">
        <v>35794</v>
      </c>
      <c r="H100" s="69">
        <v>7875</v>
      </c>
    </row>
    <row r="101" spans="1:8" x14ac:dyDescent="0.3">
      <c r="A101" s="66">
        <v>94</v>
      </c>
      <c r="B101" s="67" t="s">
        <v>577</v>
      </c>
      <c r="C101" s="67" t="s">
        <v>578</v>
      </c>
      <c r="D101" s="67" t="s">
        <v>365</v>
      </c>
      <c r="E101" s="67" t="s">
        <v>545</v>
      </c>
      <c r="F101" s="67" t="s">
        <v>559</v>
      </c>
      <c r="G101" s="68">
        <v>32605</v>
      </c>
      <c r="H101" s="69">
        <v>17325</v>
      </c>
    </row>
    <row r="102" spans="1:8" x14ac:dyDescent="0.3">
      <c r="A102" s="66">
        <v>96</v>
      </c>
      <c r="B102" s="67" t="s">
        <v>423</v>
      </c>
      <c r="C102" s="67" t="s">
        <v>323</v>
      </c>
      <c r="D102" s="67" t="s">
        <v>389</v>
      </c>
      <c r="E102" s="67" t="s">
        <v>545</v>
      </c>
      <c r="F102" s="67" t="s">
        <v>566</v>
      </c>
      <c r="G102" s="68">
        <v>32607</v>
      </c>
      <c r="H102" s="69">
        <v>17325</v>
      </c>
    </row>
    <row r="103" spans="1:8" x14ac:dyDescent="0.3">
      <c r="A103" s="66">
        <v>99</v>
      </c>
      <c r="B103" s="67" t="s">
        <v>579</v>
      </c>
      <c r="C103" s="67" t="s">
        <v>483</v>
      </c>
      <c r="D103" s="67" t="s">
        <v>369</v>
      </c>
      <c r="E103" s="67" t="s">
        <v>545</v>
      </c>
      <c r="F103" s="67" t="s">
        <v>557</v>
      </c>
      <c r="G103" s="68">
        <v>35794</v>
      </c>
      <c r="H103" s="69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88"/>
  </cols>
  <sheetData>
    <row r="5" spans="15:15" x14ac:dyDescent="0.3">
      <c r="O5" s="87" t="s">
        <v>953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88"/>
  </cols>
  <sheetData>
    <row r="5" spans="15:15" x14ac:dyDescent="0.3">
      <c r="O5" s="87" t="s">
        <v>953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51"/>
      <c r="C1" s="151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51"/>
      <c r="C1" s="151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51"/>
      <c r="C1" s="151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51"/>
      <c r="C1" s="151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1" t="s">
        <v>355</v>
      </c>
      <c r="B2" s="131" t="s">
        <v>84</v>
      </c>
      <c r="C2" t="s">
        <v>965</v>
      </c>
    </row>
    <row r="3" spans="1:3" x14ac:dyDescent="0.3">
      <c r="A3" t="s">
        <v>373</v>
      </c>
      <c r="B3" t="s">
        <v>545</v>
      </c>
      <c r="C3">
        <v>15750</v>
      </c>
    </row>
    <row r="4" spans="1:3" x14ac:dyDescent="0.3">
      <c r="B4" t="s">
        <v>420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504</v>
      </c>
      <c r="C6">
        <v>13125</v>
      </c>
    </row>
    <row r="7" spans="1:3" x14ac:dyDescent="0.3">
      <c r="A7" t="s">
        <v>966</v>
      </c>
      <c r="C7">
        <v>14652.272727272728</v>
      </c>
    </row>
    <row r="8" spans="1:3" x14ac:dyDescent="0.3">
      <c r="A8" t="s">
        <v>395</v>
      </c>
      <c r="B8" t="s">
        <v>545</v>
      </c>
      <c r="C8">
        <v>16333.333333333334</v>
      </c>
    </row>
    <row r="9" spans="1:3" x14ac:dyDescent="0.3">
      <c r="B9" t="s">
        <v>504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420</v>
      </c>
      <c r="C11">
        <v>13475</v>
      </c>
    </row>
    <row r="12" spans="1:3" x14ac:dyDescent="0.3">
      <c r="A12" t="s">
        <v>967</v>
      </c>
      <c r="C12">
        <v>15082.8125</v>
      </c>
    </row>
    <row r="13" spans="1:3" x14ac:dyDescent="0.3">
      <c r="A13" t="s">
        <v>506</v>
      </c>
      <c r="B13" t="s">
        <v>504</v>
      </c>
      <c r="C13">
        <v>49000</v>
      </c>
    </row>
    <row r="14" spans="1:3" x14ac:dyDescent="0.3">
      <c r="A14" t="s">
        <v>968</v>
      </c>
      <c r="C14">
        <v>49000</v>
      </c>
    </row>
    <row r="15" spans="1:3" x14ac:dyDescent="0.3">
      <c r="A15" t="s">
        <v>369</v>
      </c>
      <c r="B15" t="s">
        <v>420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504</v>
      </c>
      <c r="C17">
        <v>16187.5</v>
      </c>
    </row>
    <row r="18" spans="1:3" x14ac:dyDescent="0.3">
      <c r="B18" t="s">
        <v>545</v>
      </c>
      <c r="C18">
        <v>12687.5</v>
      </c>
    </row>
    <row r="19" spans="1:3" x14ac:dyDescent="0.3">
      <c r="A19" t="s">
        <v>969</v>
      </c>
      <c r="C19">
        <v>18000</v>
      </c>
    </row>
    <row r="20" spans="1:3" x14ac:dyDescent="0.3">
      <c r="A20" t="s">
        <v>952</v>
      </c>
      <c r="B20" t="s">
        <v>90</v>
      </c>
      <c r="C20">
        <v>17500</v>
      </c>
    </row>
    <row r="21" spans="1:3" x14ac:dyDescent="0.3">
      <c r="A21" t="s">
        <v>970</v>
      </c>
      <c r="C21">
        <v>17500</v>
      </c>
    </row>
    <row r="22" spans="1:3" x14ac:dyDescent="0.3">
      <c r="A22" t="s">
        <v>365</v>
      </c>
      <c r="B22" t="s">
        <v>504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420</v>
      </c>
      <c r="C24">
        <v>13533.333333333334</v>
      </c>
    </row>
    <row r="25" spans="1:3" x14ac:dyDescent="0.3">
      <c r="B25" t="s">
        <v>545</v>
      </c>
      <c r="C25">
        <v>10237.5</v>
      </c>
    </row>
    <row r="26" spans="1:3" x14ac:dyDescent="0.3">
      <c r="A26" t="s">
        <v>971</v>
      </c>
      <c r="C26">
        <v>13358.333333333334</v>
      </c>
    </row>
    <row r="27" spans="1:3" x14ac:dyDescent="0.3">
      <c r="A27" t="s">
        <v>382</v>
      </c>
      <c r="B27" t="s">
        <v>504</v>
      </c>
      <c r="C27">
        <v>17500</v>
      </c>
    </row>
    <row r="28" spans="1:3" x14ac:dyDescent="0.3">
      <c r="B28" t="s">
        <v>420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545</v>
      </c>
      <c r="C30">
        <v>13912.5</v>
      </c>
    </row>
    <row r="31" spans="1:3" x14ac:dyDescent="0.3">
      <c r="A31" t="s">
        <v>972</v>
      </c>
      <c r="C31">
        <v>15210.416666666666</v>
      </c>
    </row>
    <row r="32" spans="1:3" x14ac:dyDescent="0.3">
      <c r="A32" t="s">
        <v>389</v>
      </c>
      <c r="B32" t="s">
        <v>420</v>
      </c>
      <c r="C32">
        <v>15662.5</v>
      </c>
    </row>
    <row r="33" spans="1:3" x14ac:dyDescent="0.3">
      <c r="B33" t="s">
        <v>504</v>
      </c>
      <c r="C33">
        <v>14233.333333333334</v>
      </c>
    </row>
    <row r="34" spans="1:3" x14ac:dyDescent="0.3">
      <c r="B34" t="s">
        <v>545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973</v>
      </c>
      <c r="C36">
        <v>14566.176470588236</v>
      </c>
    </row>
    <row r="37" spans="1:3" x14ac:dyDescent="0.3">
      <c r="A37" t="s">
        <v>361</v>
      </c>
      <c r="B37" t="s">
        <v>90</v>
      </c>
      <c r="C37">
        <v>19833.333333333332</v>
      </c>
    </row>
    <row r="38" spans="1:3" x14ac:dyDescent="0.3">
      <c r="B38" t="s">
        <v>420</v>
      </c>
      <c r="C38">
        <v>17750.142857142859</v>
      </c>
    </row>
    <row r="39" spans="1:3" x14ac:dyDescent="0.3">
      <c r="B39" t="s">
        <v>545</v>
      </c>
      <c r="C39">
        <v>15750</v>
      </c>
    </row>
    <row r="40" spans="1:3" x14ac:dyDescent="0.3">
      <c r="B40" t="s">
        <v>504</v>
      </c>
      <c r="C40">
        <v>13956.25</v>
      </c>
    </row>
    <row r="41" spans="1:3" x14ac:dyDescent="0.3">
      <c r="A41" t="s">
        <v>974</v>
      </c>
      <c r="C41">
        <v>16872.117647058825</v>
      </c>
    </row>
    <row r="42" spans="1:3" x14ac:dyDescent="0.3">
      <c r="A42" t="s">
        <v>864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357</v>
      </c>
      <c r="B2" t="s">
        <v>965</v>
      </c>
    </row>
    <row r="3" spans="1:2" x14ac:dyDescent="0.3">
      <c r="A3" s="133">
        <v>28126</v>
      </c>
      <c r="B3">
        <v>19687.5</v>
      </c>
    </row>
    <row r="4" spans="1:2" x14ac:dyDescent="0.3">
      <c r="A4" s="133">
        <v>28326</v>
      </c>
      <c r="B4">
        <v>15750</v>
      </c>
    </row>
    <row r="5" spans="1:2" x14ac:dyDescent="0.3">
      <c r="A5" s="133">
        <v>28907</v>
      </c>
      <c r="B5">
        <v>22750</v>
      </c>
    </row>
    <row r="6" spans="1:2" x14ac:dyDescent="0.3">
      <c r="A6" s="133">
        <v>29172</v>
      </c>
      <c r="B6">
        <v>22750</v>
      </c>
    </row>
    <row r="7" spans="1:2" x14ac:dyDescent="0.3">
      <c r="A7" s="133">
        <v>29183</v>
      </c>
      <c r="B7">
        <v>12250</v>
      </c>
    </row>
    <row r="8" spans="1:2" x14ac:dyDescent="0.3">
      <c r="A8" s="133">
        <v>29226</v>
      </c>
      <c r="B8">
        <v>22750</v>
      </c>
    </row>
    <row r="9" spans="1:2" x14ac:dyDescent="0.3">
      <c r="A9" s="133">
        <v>29362</v>
      </c>
      <c r="B9">
        <v>14875</v>
      </c>
    </row>
    <row r="10" spans="1:2" x14ac:dyDescent="0.3">
      <c r="A10" s="133">
        <v>30225</v>
      </c>
      <c r="B10">
        <v>20708.333333333332</v>
      </c>
    </row>
    <row r="11" spans="1:2" x14ac:dyDescent="0.3">
      <c r="A11" s="133">
        <v>30376</v>
      </c>
      <c r="B11">
        <v>17500</v>
      </c>
    </row>
    <row r="12" spans="1:2" x14ac:dyDescent="0.3">
      <c r="A12" s="133">
        <v>31027</v>
      </c>
      <c r="B12">
        <v>19250</v>
      </c>
    </row>
    <row r="13" spans="1:2" x14ac:dyDescent="0.3">
      <c r="A13" s="133">
        <v>31028</v>
      </c>
      <c r="B13">
        <v>49000</v>
      </c>
    </row>
    <row r="14" spans="1:2" x14ac:dyDescent="0.3">
      <c r="A14" s="133">
        <v>31029</v>
      </c>
      <c r="B14">
        <v>14875</v>
      </c>
    </row>
    <row r="15" spans="1:2" x14ac:dyDescent="0.3">
      <c r="A15" s="133">
        <v>31030</v>
      </c>
      <c r="B15">
        <v>14875</v>
      </c>
    </row>
    <row r="16" spans="1:2" x14ac:dyDescent="0.3">
      <c r="A16" s="133">
        <v>31402</v>
      </c>
      <c r="B16">
        <v>14875</v>
      </c>
    </row>
    <row r="17" spans="1:2" x14ac:dyDescent="0.3">
      <c r="A17" s="133">
        <v>31637</v>
      </c>
      <c r="B17">
        <v>10500</v>
      </c>
    </row>
    <row r="18" spans="1:2" x14ac:dyDescent="0.3">
      <c r="A18" s="133">
        <v>31717</v>
      </c>
      <c r="B18">
        <v>15750</v>
      </c>
    </row>
    <row r="19" spans="1:2" x14ac:dyDescent="0.3">
      <c r="A19" s="133">
        <v>31791</v>
      </c>
      <c r="B19">
        <v>19250</v>
      </c>
    </row>
    <row r="20" spans="1:2" x14ac:dyDescent="0.3">
      <c r="A20" s="133">
        <v>32105</v>
      </c>
      <c r="B20">
        <v>19250</v>
      </c>
    </row>
    <row r="21" spans="1:2" x14ac:dyDescent="0.3">
      <c r="A21" s="133">
        <v>32106</v>
      </c>
      <c r="B21">
        <v>19250</v>
      </c>
    </row>
    <row r="22" spans="1:2" x14ac:dyDescent="0.3">
      <c r="A22" s="133">
        <v>32107</v>
      </c>
      <c r="B22">
        <v>19251</v>
      </c>
    </row>
    <row r="23" spans="1:2" x14ac:dyDescent="0.3">
      <c r="A23" s="133">
        <v>32180</v>
      </c>
      <c r="B23">
        <v>15750</v>
      </c>
    </row>
    <row r="24" spans="1:2" x14ac:dyDescent="0.3">
      <c r="A24" s="133">
        <v>32390</v>
      </c>
      <c r="B24">
        <v>12425</v>
      </c>
    </row>
    <row r="25" spans="1:2" x14ac:dyDescent="0.3">
      <c r="A25" s="133">
        <v>32435</v>
      </c>
      <c r="B25">
        <v>15435</v>
      </c>
    </row>
    <row r="26" spans="1:2" x14ac:dyDescent="0.3">
      <c r="A26" s="133">
        <v>32436</v>
      </c>
      <c r="B26">
        <v>15750</v>
      </c>
    </row>
    <row r="27" spans="1:2" x14ac:dyDescent="0.3">
      <c r="A27" s="133">
        <v>32437</v>
      </c>
      <c r="B27">
        <v>19250</v>
      </c>
    </row>
    <row r="28" spans="1:2" x14ac:dyDescent="0.3">
      <c r="A28" s="133">
        <v>32438</v>
      </c>
      <c r="B28">
        <v>17500</v>
      </c>
    </row>
    <row r="29" spans="1:2" x14ac:dyDescent="0.3">
      <c r="A29" s="133">
        <v>32439</v>
      </c>
      <c r="B29">
        <v>17500</v>
      </c>
    </row>
    <row r="30" spans="1:2" x14ac:dyDescent="0.3">
      <c r="A30" s="133">
        <v>32440</v>
      </c>
      <c r="B30">
        <v>17500</v>
      </c>
    </row>
    <row r="31" spans="1:2" x14ac:dyDescent="0.3">
      <c r="A31" s="133">
        <v>32441</v>
      </c>
      <c r="B31">
        <v>17500</v>
      </c>
    </row>
    <row r="32" spans="1:2" x14ac:dyDescent="0.3">
      <c r="A32" s="133">
        <v>32442</v>
      </c>
      <c r="B32">
        <v>17500</v>
      </c>
    </row>
    <row r="33" spans="1:2" x14ac:dyDescent="0.3">
      <c r="A33" s="133">
        <v>32443</v>
      </c>
      <c r="B33">
        <v>17500</v>
      </c>
    </row>
    <row r="34" spans="1:2" x14ac:dyDescent="0.3">
      <c r="A34" s="133">
        <v>32444</v>
      </c>
      <c r="B34">
        <v>18812.5</v>
      </c>
    </row>
    <row r="35" spans="1:2" x14ac:dyDescent="0.3">
      <c r="A35" s="133">
        <v>32445</v>
      </c>
      <c r="B35">
        <v>17500</v>
      </c>
    </row>
    <row r="36" spans="1:2" x14ac:dyDescent="0.3">
      <c r="A36" s="133">
        <v>32446</v>
      </c>
      <c r="B36">
        <v>17500</v>
      </c>
    </row>
    <row r="37" spans="1:2" x14ac:dyDescent="0.3">
      <c r="A37" s="133">
        <v>32447</v>
      </c>
      <c r="B37">
        <v>17500</v>
      </c>
    </row>
    <row r="38" spans="1:2" x14ac:dyDescent="0.3">
      <c r="A38" s="133">
        <v>32448</v>
      </c>
      <c r="B38">
        <v>17500</v>
      </c>
    </row>
    <row r="39" spans="1:2" x14ac:dyDescent="0.3">
      <c r="A39" s="133">
        <v>32603</v>
      </c>
      <c r="B39">
        <v>17325</v>
      </c>
    </row>
    <row r="40" spans="1:2" x14ac:dyDescent="0.3">
      <c r="A40" s="133">
        <v>32604</v>
      </c>
      <c r="B40">
        <v>17325</v>
      </c>
    </row>
    <row r="41" spans="1:2" x14ac:dyDescent="0.3">
      <c r="A41" s="133">
        <v>32605</v>
      </c>
      <c r="B41">
        <v>17325</v>
      </c>
    </row>
    <row r="42" spans="1:2" x14ac:dyDescent="0.3">
      <c r="A42" s="133">
        <v>32606</v>
      </c>
      <c r="B42">
        <v>17325</v>
      </c>
    </row>
    <row r="43" spans="1:2" x14ac:dyDescent="0.3">
      <c r="A43" s="133">
        <v>32607</v>
      </c>
      <c r="B43">
        <v>17325</v>
      </c>
    </row>
    <row r="44" spans="1:2" x14ac:dyDescent="0.3">
      <c r="A44" s="133">
        <v>32608</v>
      </c>
      <c r="B44">
        <v>17325</v>
      </c>
    </row>
    <row r="45" spans="1:2" x14ac:dyDescent="0.3">
      <c r="A45" s="133">
        <v>32609</v>
      </c>
      <c r="B45">
        <v>17325</v>
      </c>
    </row>
    <row r="46" spans="1:2" x14ac:dyDescent="0.3">
      <c r="A46" s="133">
        <v>32755</v>
      </c>
      <c r="B46">
        <v>16712.5</v>
      </c>
    </row>
    <row r="47" spans="1:2" x14ac:dyDescent="0.3">
      <c r="A47" s="133">
        <v>33102</v>
      </c>
      <c r="B47">
        <v>12425</v>
      </c>
    </row>
    <row r="48" spans="1:2" x14ac:dyDescent="0.3">
      <c r="A48" s="133">
        <v>33182</v>
      </c>
      <c r="B48">
        <v>17500</v>
      </c>
    </row>
    <row r="49" spans="1:2" x14ac:dyDescent="0.3">
      <c r="A49" s="133">
        <v>33194</v>
      </c>
      <c r="B49">
        <v>13825</v>
      </c>
    </row>
    <row r="50" spans="1:2" x14ac:dyDescent="0.3">
      <c r="A50" s="133">
        <v>33510</v>
      </c>
      <c r="B50">
        <v>12075</v>
      </c>
    </row>
    <row r="51" spans="1:2" x14ac:dyDescent="0.3">
      <c r="A51" s="133">
        <v>33729</v>
      </c>
      <c r="B51">
        <v>9275</v>
      </c>
    </row>
    <row r="52" spans="1:2" x14ac:dyDescent="0.3">
      <c r="A52" s="133">
        <v>33787</v>
      </c>
      <c r="B52">
        <v>13125</v>
      </c>
    </row>
    <row r="53" spans="1:2" x14ac:dyDescent="0.3">
      <c r="A53" s="133">
        <v>33878</v>
      </c>
      <c r="B53">
        <v>14875</v>
      </c>
    </row>
    <row r="54" spans="1:2" x14ac:dyDescent="0.3">
      <c r="A54" s="133">
        <v>34098</v>
      </c>
      <c r="B54">
        <v>14875</v>
      </c>
    </row>
    <row r="55" spans="1:2" x14ac:dyDescent="0.3">
      <c r="A55" s="133">
        <v>34580</v>
      </c>
      <c r="B55">
        <v>11725</v>
      </c>
    </row>
    <row r="56" spans="1:2" x14ac:dyDescent="0.3">
      <c r="A56" s="133">
        <v>34761</v>
      </c>
      <c r="B56">
        <v>14875</v>
      </c>
    </row>
    <row r="57" spans="1:2" x14ac:dyDescent="0.3">
      <c r="A57" s="133">
        <v>34762</v>
      </c>
      <c r="B57">
        <v>14000</v>
      </c>
    </row>
    <row r="58" spans="1:2" x14ac:dyDescent="0.3">
      <c r="A58" s="133">
        <v>34763</v>
      </c>
      <c r="B58">
        <v>14000</v>
      </c>
    </row>
    <row r="59" spans="1:2" x14ac:dyDescent="0.3">
      <c r="A59" s="133">
        <v>34777</v>
      </c>
      <c r="B59">
        <v>10500</v>
      </c>
    </row>
    <row r="60" spans="1:2" x14ac:dyDescent="0.3">
      <c r="A60" s="133">
        <v>35034</v>
      </c>
      <c r="B60">
        <v>14875</v>
      </c>
    </row>
    <row r="61" spans="1:2" x14ac:dyDescent="0.3">
      <c r="A61" s="133">
        <v>35189</v>
      </c>
      <c r="B61">
        <v>9625</v>
      </c>
    </row>
    <row r="62" spans="1:2" x14ac:dyDescent="0.3">
      <c r="A62" s="133">
        <v>35595</v>
      </c>
      <c r="B62">
        <v>7875</v>
      </c>
    </row>
    <row r="63" spans="1:2" x14ac:dyDescent="0.3">
      <c r="A63" s="133">
        <v>35618</v>
      </c>
      <c r="B63">
        <v>9187.5</v>
      </c>
    </row>
    <row r="64" spans="1:2" x14ac:dyDescent="0.3">
      <c r="A64" s="133">
        <v>35794</v>
      </c>
      <c r="B64">
        <v>9187.5</v>
      </c>
    </row>
    <row r="65" spans="1:2" x14ac:dyDescent="0.3">
      <c r="A65" s="133">
        <v>35809</v>
      </c>
      <c r="B65">
        <v>7000</v>
      </c>
    </row>
    <row r="66" spans="1:2" x14ac:dyDescent="0.3">
      <c r="A66" s="133">
        <v>35810</v>
      </c>
      <c r="B66">
        <v>17500</v>
      </c>
    </row>
    <row r="67" spans="1:2" x14ac:dyDescent="0.3">
      <c r="A67" s="133">
        <v>35811</v>
      </c>
      <c r="B67">
        <v>17500</v>
      </c>
    </row>
    <row r="68" spans="1:2" x14ac:dyDescent="0.3">
      <c r="A68" s="133">
        <v>36193</v>
      </c>
      <c r="B68">
        <v>7875</v>
      </c>
    </row>
    <row r="69" spans="1:2" x14ac:dyDescent="0.3">
      <c r="A69" s="133">
        <v>36220</v>
      </c>
      <c r="B69">
        <v>7000</v>
      </c>
    </row>
    <row r="70" spans="1:2" x14ac:dyDescent="0.3">
      <c r="A70" s="133">
        <v>36221</v>
      </c>
      <c r="B70">
        <v>7000</v>
      </c>
    </row>
    <row r="71" spans="1:2" x14ac:dyDescent="0.3">
      <c r="A71" s="133">
        <v>36222</v>
      </c>
      <c r="B71">
        <v>7000</v>
      </c>
    </row>
    <row r="72" spans="1:2" x14ac:dyDescent="0.3">
      <c r="A72" s="133">
        <v>36274</v>
      </c>
      <c r="B72">
        <v>7875</v>
      </c>
    </row>
    <row r="73" spans="1:2" x14ac:dyDescent="0.3">
      <c r="A73" s="133">
        <v>36316</v>
      </c>
      <c r="B73">
        <v>5950</v>
      </c>
    </row>
    <row r="74" spans="1:2" x14ac:dyDescent="0.3">
      <c r="A74" s="133">
        <v>36317</v>
      </c>
      <c r="B74">
        <v>7875</v>
      </c>
    </row>
    <row r="75" spans="1:2" x14ac:dyDescent="0.3">
      <c r="A75" s="133">
        <v>36318</v>
      </c>
      <c r="B75">
        <v>7875</v>
      </c>
    </row>
    <row r="76" spans="1:2" x14ac:dyDescent="0.3">
      <c r="A76" s="133">
        <v>36319</v>
      </c>
      <c r="B76">
        <v>7875</v>
      </c>
    </row>
    <row r="77" spans="1:2" x14ac:dyDescent="0.3">
      <c r="A77" s="133">
        <v>36506</v>
      </c>
      <c r="B77">
        <v>14875</v>
      </c>
    </row>
    <row r="78" spans="1:2" x14ac:dyDescent="0.3">
      <c r="A78" s="133" t="s">
        <v>864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355</v>
      </c>
      <c r="B2" t="s">
        <v>965</v>
      </c>
    </row>
    <row r="3" spans="1:2" x14ac:dyDescent="0.3">
      <c r="A3" t="s">
        <v>506</v>
      </c>
      <c r="B3">
        <v>49000</v>
      </c>
    </row>
    <row r="4" spans="1:2" x14ac:dyDescent="0.3">
      <c r="A4" t="s">
        <v>369</v>
      </c>
      <c r="B4">
        <v>18000</v>
      </c>
    </row>
    <row r="5" spans="1:2" x14ac:dyDescent="0.3">
      <c r="A5" t="s">
        <v>952</v>
      </c>
      <c r="B5">
        <v>17500</v>
      </c>
    </row>
    <row r="6" spans="1:2" x14ac:dyDescent="0.3">
      <c r="A6" t="s">
        <v>361</v>
      </c>
      <c r="B6">
        <v>16872.117647058825</v>
      </c>
    </row>
    <row r="7" spans="1:2" x14ac:dyDescent="0.3">
      <c r="A7" t="s">
        <v>382</v>
      </c>
      <c r="B7">
        <v>15210.416666666666</v>
      </c>
    </row>
    <row r="8" spans="1:2" x14ac:dyDescent="0.3">
      <c r="A8" t="s">
        <v>395</v>
      </c>
      <c r="B8">
        <v>15082.8125</v>
      </c>
    </row>
    <row r="9" spans="1:2" x14ac:dyDescent="0.3">
      <c r="A9" t="s">
        <v>373</v>
      </c>
      <c r="B9">
        <v>14652.272727272728</v>
      </c>
    </row>
    <row r="10" spans="1:2" x14ac:dyDescent="0.3">
      <c r="A10" t="s">
        <v>389</v>
      </c>
      <c r="B10">
        <v>14566.176470588236</v>
      </c>
    </row>
    <row r="11" spans="1:2" x14ac:dyDescent="0.3">
      <c r="A11" t="s">
        <v>365</v>
      </c>
      <c r="B11">
        <v>13358.333333333334</v>
      </c>
    </row>
    <row r="12" spans="1:2" x14ac:dyDescent="0.3">
      <c r="A12" t="s">
        <v>864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355</v>
      </c>
      <c r="B2" t="s">
        <v>389</v>
      </c>
    </row>
    <row r="4" spans="1:2" x14ac:dyDescent="0.3">
      <c r="A4" s="131" t="s">
        <v>357</v>
      </c>
      <c r="B4" t="s">
        <v>965</v>
      </c>
    </row>
    <row r="5" spans="1:2" x14ac:dyDescent="0.3">
      <c r="A5" s="133">
        <v>29226</v>
      </c>
      <c r="B5">
        <v>22750</v>
      </c>
    </row>
    <row r="6" spans="1:2" x14ac:dyDescent="0.3">
      <c r="A6" s="133">
        <v>30225</v>
      </c>
      <c r="B6">
        <v>15750</v>
      </c>
    </row>
    <row r="7" spans="1:2" x14ac:dyDescent="0.3">
      <c r="A7" s="133">
        <v>32438</v>
      </c>
      <c r="B7">
        <v>17500</v>
      </c>
    </row>
    <row r="8" spans="1:2" x14ac:dyDescent="0.3">
      <c r="A8" s="133">
        <v>32440</v>
      </c>
      <c r="B8">
        <v>17500</v>
      </c>
    </row>
    <row r="9" spans="1:2" x14ac:dyDescent="0.3">
      <c r="A9" s="133">
        <v>32443</v>
      </c>
      <c r="B9">
        <v>17500</v>
      </c>
    </row>
    <row r="10" spans="1:2" x14ac:dyDescent="0.3">
      <c r="A10" s="133">
        <v>32448</v>
      </c>
      <c r="B10">
        <v>17500</v>
      </c>
    </row>
    <row r="11" spans="1:2" x14ac:dyDescent="0.3">
      <c r="A11" s="133">
        <v>32607</v>
      </c>
      <c r="B11">
        <v>17325</v>
      </c>
    </row>
    <row r="12" spans="1:2" x14ac:dyDescent="0.3">
      <c r="A12" s="133">
        <v>32608</v>
      </c>
      <c r="B12">
        <v>17325</v>
      </c>
    </row>
    <row r="13" spans="1:2" x14ac:dyDescent="0.3">
      <c r="A13" s="133">
        <v>32755</v>
      </c>
      <c r="B13">
        <v>16712.5</v>
      </c>
    </row>
    <row r="14" spans="1:2" x14ac:dyDescent="0.3">
      <c r="A14" s="133">
        <v>33510</v>
      </c>
      <c r="B14">
        <v>13300</v>
      </c>
    </row>
    <row r="15" spans="1:2" x14ac:dyDescent="0.3">
      <c r="A15" s="133">
        <v>34763</v>
      </c>
      <c r="B15">
        <v>14000</v>
      </c>
    </row>
    <row r="16" spans="1:2" x14ac:dyDescent="0.3">
      <c r="A16" s="133">
        <v>34777</v>
      </c>
      <c r="B16">
        <v>10500</v>
      </c>
    </row>
    <row r="17" spans="1:2" x14ac:dyDescent="0.3">
      <c r="A17" s="133">
        <v>35618</v>
      </c>
      <c r="B17">
        <v>11375</v>
      </c>
    </row>
    <row r="18" spans="1:2" x14ac:dyDescent="0.3">
      <c r="A18" s="133">
        <v>35809</v>
      </c>
      <c r="B18">
        <v>7000</v>
      </c>
    </row>
    <row r="19" spans="1:2" x14ac:dyDescent="0.3">
      <c r="A19" s="133">
        <v>36222</v>
      </c>
      <c r="B19">
        <v>7000</v>
      </c>
    </row>
    <row r="20" spans="1:2" x14ac:dyDescent="0.3">
      <c r="A20" s="133">
        <v>36274</v>
      </c>
      <c r="B20">
        <v>7875</v>
      </c>
    </row>
    <row r="21" spans="1:2" x14ac:dyDescent="0.3">
      <c r="A21" s="133" t="s">
        <v>864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317</v>
      </c>
      <c r="B2" t="s">
        <v>401</v>
      </c>
    </row>
    <row r="4" spans="1:2" x14ac:dyDescent="0.3">
      <c r="A4" s="131" t="s">
        <v>84</v>
      </c>
      <c r="B4" t="s">
        <v>965</v>
      </c>
    </row>
    <row r="5" spans="1:2" x14ac:dyDescent="0.3">
      <c r="A5" t="s">
        <v>504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420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355</v>
      </c>
      <c r="B2" t="s">
        <v>395</v>
      </c>
    </row>
    <row r="4" spans="1:2" x14ac:dyDescent="0.3">
      <c r="A4" s="131" t="s">
        <v>357</v>
      </c>
      <c r="B4" t="s">
        <v>965</v>
      </c>
    </row>
    <row r="5" spans="1:2" x14ac:dyDescent="0.3">
      <c r="A5" s="133">
        <v>30225</v>
      </c>
      <c r="B5">
        <v>15750</v>
      </c>
    </row>
    <row r="6" spans="1:2" x14ac:dyDescent="0.3">
      <c r="A6" s="133">
        <v>31717</v>
      </c>
      <c r="B6">
        <v>15750</v>
      </c>
    </row>
    <row r="7" spans="1:2" x14ac:dyDescent="0.3">
      <c r="A7" s="133">
        <v>32435</v>
      </c>
      <c r="B7">
        <v>15750</v>
      </c>
    </row>
    <row r="8" spans="1:2" x14ac:dyDescent="0.3">
      <c r="A8" s="133">
        <v>32437</v>
      </c>
      <c r="B8">
        <v>19250</v>
      </c>
    </row>
    <row r="9" spans="1:2" x14ac:dyDescent="0.3">
      <c r="A9" s="133">
        <v>32439</v>
      </c>
      <c r="B9">
        <v>17500</v>
      </c>
    </row>
    <row r="10" spans="1:2" x14ac:dyDescent="0.3">
      <c r="A10" s="133">
        <v>32442</v>
      </c>
      <c r="B10">
        <v>17500</v>
      </c>
    </row>
    <row r="11" spans="1:2" x14ac:dyDescent="0.3">
      <c r="A11" s="133">
        <v>32447</v>
      </c>
      <c r="B11">
        <v>17500</v>
      </c>
    </row>
    <row r="12" spans="1:2" x14ac:dyDescent="0.3">
      <c r="A12" s="133">
        <v>32609</v>
      </c>
      <c r="B12">
        <v>17325</v>
      </c>
    </row>
    <row r="13" spans="1:2" x14ac:dyDescent="0.3">
      <c r="A13" s="133">
        <v>33510</v>
      </c>
      <c r="B13">
        <v>8750</v>
      </c>
    </row>
    <row r="14" spans="1:2" x14ac:dyDescent="0.3">
      <c r="A14" s="133">
        <v>34761</v>
      </c>
      <c r="B14">
        <v>15750</v>
      </c>
    </row>
    <row r="15" spans="1:2" x14ac:dyDescent="0.3">
      <c r="A15" s="133">
        <v>35034</v>
      </c>
      <c r="B15">
        <v>15750</v>
      </c>
    </row>
    <row r="16" spans="1:2" x14ac:dyDescent="0.3">
      <c r="A16" s="133">
        <v>35618</v>
      </c>
      <c r="B16">
        <v>7000</v>
      </c>
    </row>
    <row r="17" spans="1:2" x14ac:dyDescent="0.3">
      <c r="A17" s="133">
        <v>35810</v>
      </c>
      <c r="B17">
        <v>17500</v>
      </c>
    </row>
    <row r="18" spans="1:2" x14ac:dyDescent="0.3">
      <c r="A18" s="133">
        <v>36221</v>
      </c>
      <c r="B18">
        <v>7000</v>
      </c>
    </row>
    <row r="19" spans="1:2" x14ac:dyDescent="0.3">
      <c r="A19" s="133" t="s">
        <v>864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317</v>
      </c>
      <c r="B2" t="s">
        <v>401</v>
      </c>
    </row>
    <row r="4" spans="1:2" x14ac:dyDescent="0.3">
      <c r="A4" s="131" t="s">
        <v>354</v>
      </c>
      <c r="B4" t="s">
        <v>965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317</v>
      </c>
      <c r="B2" t="s">
        <v>483</v>
      </c>
    </row>
    <row r="4" spans="1:2" x14ac:dyDescent="0.3">
      <c r="A4" s="131" t="s">
        <v>354</v>
      </c>
      <c r="B4" t="s">
        <v>965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864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317</v>
      </c>
      <c r="B2" t="s">
        <v>401</v>
      </c>
    </row>
    <row r="4" spans="1:2" x14ac:dyDescent="0.3">
      <c r="A4" s="131" t="s">
        <v>356</v>
      </c>
      <c r="B4" t="s">
        <v>965</v>
      </c>
    </row>
    <row r="5" spans="1:2" x14ac:dyDescent="0.3">
      <c r="A5" t="s">
        <v>507</v>
      </c>
      <c r="B5">
        <v>49000</v>
      </c>
    </row>
    <row r="6" spans="1:2" x14ac:dyDescent="0.3">
      <c r="A6" t="s">
        <v>370</v>
      </c>
      <c r="B6">
        <v>17500</v>
      </c>
    </row>
    <row r="7" spans="1:2" x14ac:dyDescent="0.3">
      <c r="A7" t="s">
        <v>383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317</v>
      </c>
      <c r="B2" t="s">
        <v>323</v>
      </c>
    </row>
    <row r="4" spans="1:2" x14ac:dyDescent="0.3">
      <c r="A4" s="131" t="s">
        <v>357</v>
      </c>
      <c r="B4" t="s">
        <v>965</v>
      </c>
    </row>
    <row r="5" spans="1:2" x14ac:dyDescent="0.3">
      <c r="A5" s="133">
        <v>28126</v>
      </c>
      <c r="B5">
        <v>17500</v>
      </c>
    </row>
    <row r="6" spans="1:2" x14ac:dyDescent="0.3">
      <c r="A6" s="133">
        <v>32607</v>
      </c>
      <c r="B6">
        <v>17325</v>
      </c>
    </row>
    <row r="7" spans="1:2" x14ac:dyDescent="0.3">
      <c r="A7" s="133">
        <v>36220</v>
      </c>
      <c r="B7">
        <v>7000</v>
      </c>
    </row>
    <row r="8" spans="1:2" x14ac:dyDescent="0.3">
      <c r="A8" s="133" t="s">
        <v>864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4" t="s">
        <v>975</v>
      </c>
    </row>
    <row r="4" spans="2:3" x14ac:dyDescent="0.3">
      <c r="C4" s="131" t="s">
        <v>965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4" t="s">
        <v>976</v>
      </c>
    </row>
    <row r="4" spans="2:13" x14ac:dyDescent="0.3">
      <c r="C4" s="131" t="s">
        <v>965</v>
      </c>
      <c r="D4" s="131" t="s">
        <v>355</v>
      </c>
    </row>
    <row r="5" spans="2:13" x14ac:dyDescent="0.3">
      <c r="C5" s="131" t="s">
        <v>356</v>
      </c>
      <c r="D5" t="s">
        <v>373</v>
      </c>
      <c r="E5" t="s">
        <v>395</v>
      </c>
      <c r="F5" t="s">
        <v>506</v>
      </c>
      <c r="G5" t="s">
        <v>369</v>
      </c>
      <c r="H5" t="s">
        <v>952</v>
      </c>
      <c r="I5" t="s">
        <v>365</v>
      </c>
      <c r="J5" t="s">
        <v>382</v>
      </c>
      <c r="K5" t="s">
        <v>389</v>
      </c>
      <c r="L5" t="s">
        <v>361</v>
      </c>
      <c r="M5" t="s">
        <v>864</v>
      </c>
    </row>
    <row r="6" spans="2:13" x14ac:dyDescent="0.3">
      <c r="C6" t="s">
        <v>507</v>
      </c>
      <c r="E6">
        <v>15750</v>
      </c>
      <c r="F6">
        <v>49000</v>
      </c>
      <c r="M6">
        <v>32375</v>
      </c>
    </row>
    <row r="7" spans="2:13" x14ac:dyDescent="0.3">
      <c r="C7" t="s">
        <v>517</v>
      </c>
      <c r="G7">
        <v>24500</v>
      </c>
      <c r="K7">
        <v>17500</v>
      </c>
      <c r="M7">
        <v>21000</v>
      </c>
    </row>
    <row r="8" spans="2:13" x14ac:dyDescent="0.3">
      <c r="C8" t="s">
        <v>427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529</v>
      </c>
      <c r="I9">
        <v>19250</v>
      </c>
      <c r="K9">
        <v>17325</v>
      </c>
      <c r="M9">
        <v>18287.5</v>
      </c>
    </row>
    <row r="10" spans="2:13" x14ac:dyDescent="0.3">
      <c r="C10" t="s">
        <v>461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440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421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362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513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383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396</v>
      </c>
      <c r="E16">
        <v>15750</v>
      </c>
      <c r="I16">
        <v>17325</v>
      </c>
      <c r="M16">
        <v>16537.5</v>
      </c>
    </row>
    <row r="17" spans="3:13" x14ac:dyDescent="0.3">
      <c r="C17" t="s">
        <v>524</v>
      </c>
      <c r="E17">
        <v>17500</v>
      </c>
      <c r="L17">
        <v>14875</v>
      </c>
      <c r="M17">
        <v>16187.5</v>
      </c>
    </row>
    <row r="18" spans="3:13" x14ac:dyDescent="0.3">
      <c r="C18" t="s">
        <v>566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458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370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571</v>
      </c>
      <c r="E21">
        <v>17500</v>
      </c>
      <c r="K21">
        <v>14000</v>
      </c>
      <c r="M21">
        <v>15750</v>
      </c>
    </row>
    <row r="22" spans="3:13" x14ac:dyDescent="0.3">
      <c r="C22" t="s">
        <v>562</v>
      </c>
      <c r="E22">
        <v>15750</v>
      </c>
      <c r="J22">
        <v>15750</v>
      </c>
      <c r="M22">
        <v>15750</v>
      </c>
    </row>
    <row r="23" spans="3:13" x14ac:dyDescent="0.3">
      <c r="C23" t="s">
        <v>399</v>
      </c>
      <c r="E23">
        <v>15750</v>
      </c>
      <c r="M23">
        <v>15750</v>
      </c>
    </row>
    <row r="24" spans="3:13" x14ac:dyDescent="0.3">
      <c r="C24" t="s">
        <v>434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559</v>
      </c>
      <c r="I25">
        <v>17325</v>
      </c>
      <c r="J25">
        <v>11725</v>
      </c>
      <c r="M25">
        <v>14525</v>
      </c>
    </row>
    <row r="26" spans="3:13" x14ac:dyDescent="0.3">
      <c r="C26" t="s">
        <v>445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366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557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551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505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430</v>
      </c>
      <c r="D31">
        <v>12425</v>
      </c>
      <c r="I31">
        <v>10500</v>
      </c>
      <c r="M31">
        <v>11462.5</v>
      </c>
    </row>
    <row r="32" spans="3:13" x14ac:dyDescent="0.3">
      <c r="C32" t="s">
        <v>376</v>
      </c>
      <c r="I32">
        <v>7875</v>
      </c>
      <c r="J32">
        <v>14175</v>
      </c>
      <c r="M32">
        <v>11025</v>
      </c>
    </row>
    <row r="33" spans="3:13" x14ac:dyDescent="0.3">
      <c r="C33" t="s">
        <v>437</v>
      </c>
      <c r="E33">
        <v>7000</v>
      </c>
      <c r="L33">
        <v>14875</v>
      </c>
      <c r="M33">
        <v>10937.5</v>
      </c>
    </row>
    <row r="34" spans="3:13" x14ac:dyDescent="0.3">
      <c r="C34" t="s">
        <v>510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546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864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ASDC4</cp:lastModifiedBy>
  <cp:revision/>
  <dcterms:created xsi:type="dcterms:W3CDTF">2024-10-17T16:19:15Z</dcterms:created>
  <dcterms:modified xsi:type="dcterms:W3CDTF">2026-03-24T07:31:11Z</dcterms:modified>
  <cp:category>IRA Skills</cp:category>
  <cp:contentStatus/>
</cp:coreProperties>
</file>